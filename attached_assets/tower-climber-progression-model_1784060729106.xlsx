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Floor Scaling" sheetId="2" r:id="rId6"/>
    <sheet state="visible" name="Gear Power Curve" sheetId="3" r:id="rId7"/>
    <sheet state="visible" name="Shop Currency (Daily+Ads)" sheetId="4" r:id="rId8"/>
    <sheet state="visible" name="Prestige Curve" sheetId="5" r:id="rId9"/>
    <sheet state="visible" name="Wall Breakpoints" sheetId="6" r:id="rId10"/>
    <sheet state="visible" name="Safe-to-Idle Check" sheetId="7" r:id="rId11"/>
    <sheet state="visible" name="Loot Tiers" sheetId="8" r:id="rId12"/>
    <sheet state="visible" name="Hero Skills" sheetId="9" r:id="rId13"/>
    <sheet state="visible" name="Gold Pacing (Floor Clears)" sheetId="10" r:id="rId14"/>
    <sheet state="visible" name="Gear Stacking Model" sheetId="11" r:id="rId15"/>
  </sheets>
  <definedNames/>
  <calcPr/>
</workbook>
</file>

<file path=xl/sharedStrings.xml><?xml version="1.0" encoding="utf-8"?>
<sst xmlns="http://schemas.openxmlformats.org/spreadsheetml/2006/main" count="308" uniqueCount="260">
  <si>
    <t>Tower Climber — Progression Model Assumptions</t>
  </si>
  <si>
    <t>Parameter</t>
  </si>
  <si>
    <t>Value</t>
  </si>
  <si>
    <t>Unit</t>
  </si>
  <si>
    <t>Notes</t>
  </si>
  <si>
    <t>Starting enemy HP (Floor 1)</t>
  </si>
  <si>
    <t>HP</t>
  </si>
  <si>
    <t>Fill in from your Tower of Hero research</t>
  </si>
  <si>
    <t>Enemy HP growth rate per floor</t>
  </si>
  <si>
    <t>%/floor</t>
  </si>
  <si>
    <t>e.g. 8% compounding per floor</t>
  </si>
  <si>
    <t>Starting enemy damage (Floor 1)</t>
  </si>
  <si>
    <t>dmg</t>
  </si>
  <si>
    <t>Enemy damage growth rate per floor</t>
  </si>
  <si>
    <t>Boss floor interval</t>
  </si>
  <si>
    <t>floors</t>
  </si>
  <si>
    <t>Every Nth floor is a boss/spike</t>
  </si>
  <si>
    <t>Boss HP multiplier</t>
  </si>
  <si>
    <t>x</t>
  </si>
  <si>
    <t>Multiplier applied on boss floors</t>
  </si>
  <si>
    <t>Player base HP</t>
  </si>
  <si>
    <t>Player base damage</t>
  </si>
  <si>
    <t>Gear power per rarity tier (avg % stat boost)</t>
  </si>
  <si>
    <t>%/tier</t>
  </si>
  <si>
    <t>Common-&gt;Rare-&gt;Epic-&gt;Legendary etc.</t>
  </si>
  <si>
    <t>Number of gear rarity tiers</t>
  </si>
  <si>
    <t>tiers</t>
  </si>
  <si>
    <t>Number of gear slots</t>
  </si>
  <si>
    <t>slots</t>
  </si>
  <si>
    <t>Daily login base reward (Day 1)</t>
  </si>
  <si>
    <t>currency</t>
  </si>
  <si>
    <t>Daily login streak bonus per day</t>
  </si>
  <si>
    <t>currency/day</t>
  </si>
  <si>
    <t>Added per consecutive day, capped at streak cap</t>
  </si>
  <si>
    <t>Daily login streak cap</t>
  </si>
  <si>
    <t>days</t>
  </si>
  <si>
    <t>Streak resets / caps after N days</t>
  </si>
  <si>
    <t>Rewarded ad currency amount</t>
  </si>
  <si>
    <t>Max rewarded ads per day</t>
  </si>
  <si>
    <t>ads/day</t>
  </si>
  <si>
    <t>Prestige currency per run (base)</t>
  </si>
  <si>
    <t>prestige pts</t>
  </si>
  <si>
    <t>Earned per run based on best floor reached</t>
  </si>
  <si>
    <t>Wall interval (floors between breakpoints)</t>
  </si>
  <si>
    <t>Tower of Hero pattern: sharp power jump every N floors</t>
  </si>
  <si>
    <t>Wall power multiplier</t>
  </si>
  <si>
    <t>Power jump applied on a wall floor (Tower of Hero: ~3x on breakpoint)</t>
  </si>
  <si>
    <t>Small power growth per non-wall floor</t>
  </si>
  <si>
    <t>Steady climb between walls</t>
  </si>
  <si>
    <t>Survivability safety buffer (Auto-Eat-equivalent threshold)</t>
  </si>
  <si>
    <t>% of HP</t>
  </si>
  <si>
    <t>Melvor pattern: HP buffer kept in reserve to stay 'idle-safe'</t>
  </si>
  <si>
    <t>Player damage reduction</t>
  </si>
  <si>
    <t>%</t>
  </si>
  <si>
    <t>Flat mitigation applied to incoming enemy damage; keep this a % not a flat number so it keeps scaling (see The Tower notes)</t>
  </si>
  <si>
    <t>Gold per kill — base</t>
  </si>
  <si>
    <t>gold</t>
  </si>
  <si>
    <t>Matches GOLD_PER_KILL_BASE in Main.gd</t>
  </si>
  <si>
    <t>Gold per kill — per floor increment</t>
  </si>
  <si>
    <t>gold/floor</t>
  </si>
  <si>
    <t>Matches GOLD_PER_KILL_PER_FLOOR in Main.gd</t>
  </si>
  <si>
    <t>Floor-by-Floor Difficulty Curve</t>
  </si>
  <si>
    <t>Edit Assumptions tab to adjust the whole curve. Rows below auto-calculate.</t>
  </si>
  <si>
    <t>Floor</t>
  </si>
  <si>
    <t>Is Boss Floor?</t>
  </si>
  <si>
    <t>Enemy HP</t>
  </si>
  <si>
    <t>Enemy Damage</t>
  </si>
  <si>
    <t>Player HP Needed (survive 5 hits)</t>
  </si>
  <si>
    <t>Player DPS Needed (kill in 5 hits)</t>
  </si>
  <si>
    <t>Gear Power by Rarity Tier</t>
  </si>
  <si>
    <t>Models total player power available if every slot is filled with a given rarity tier.</t>
  </si>
  <si>
    <t>Rarity Tier #</t>
  </si>
  <si>
    <t>Tier Name (edit)</t>
  </si>
  <si>
    <t>Stat Boost per Tier</t>
  </si>
  <si>
    <t>Total Player HP (all slots this tier)</t>
  </si>
  <si>
    <t>Total Player Damage (all slots this tier)</t>
  </si>
  <si>
    <t>Common</t>
  </si>
  <si>
    <t>Rare</t>
  </si>
  <si>
    <t>Epic</t>
  </si>
  <si>
    <t>Legendary</t>
  </si>
  <si>
    <t>Mythic</t>
  </si>
  <si>
    <t>Ascended</t>
  </si>
  <si>
    <t>Balance check: compare 'Total Player HP/Damage' at a given tier against 'Player HP/DPS Needed' on the Floor Scaling tab for the floor range you expect that tier to cover.</t>
  </si>
  <si>
    <t>Shop Currency — Daily Login &amp; Rewarded Ads Only</t>
  </si>
  <si>
    <t>This currency is separate from Gold. It's earned only via daily login streaks and rewarded ads, and spent only in the Shop tab (boosts + the Fire Sword, which is exclusively earned this way — never a chest drop).</t>
  </si>
  <si>
    <t>Consecutive Day</t>
  </si>
  <si>
    <t>Login Reward</t>
  </si>
  <si>
    <t>Cumulative from Login</t>
  </si>
  <si>
    <t>Max Rewarded-Ad Income (if watched daily)</t>
  </si>
  <si>
    <t>Total Possible Daily Income</t>
  </si>
  <si>
    <t>Note: this currency is earn-only per design (no direct purchase) and is NOT the same wallet as Gold. Gold comes from floor-clear kills and pays for Hero/Skill/Soldier upgrades — see the 'Gold Pacing' tab.</t>
  </si>
  <si>
    <t>Prestige (Death &amp; Restart) Growth Model</t>
  </si>
  <si>
    <t>Models how much permanent power you gain each run based on best floor reached before dying.</t>
  </si>
  <si>
    <t>Best Floor Reached This Run</t>
  </si>
  <si>
    <t>Prestige Points Earned</t>
  </si>
  <si>
    <t>Cumulative Prestige Points</t>
  </si>
  <si>
    <t>Permanent Power Bonus (%)</t>
  </si>
  <si>
    <t>Tune the /200 divisor in column D so permanent power bonus grows meaningfully but never trivializes the climb.</t>
  </si>
  <si>
    <t>Wall / Breakpoint Power Curve (sawtooth model)</t>
  </si>
  <si>
    <t>Models Tower of Hero's 'wall' pattern: steady small growth between breakpoints, sharp multiplier jump on a wall floor. Compare the Player Power Index shape against Floor Scaling's difficulty curve to check the sawtooth stays ahead.</t>
  </si>
  <si>
    <t>Is Wall Floor?</t>
  </si>
  <si>
    <t>Multiplier Applied This Floor</t>
  </si>
  <si>
    <t>Player Power Index</t>
  </si>
  <si>
    <t>Growth vs Prior Floor (%)</t>
  </si>
  <si>
    <t>Safe-to-Idle Checker (Melvor Idle pattern)</t>
  </si>
  <si>
    <t>Checks whether the player's effective HP (with safety buffer and damage reduction) can absorb the floor's enemy hit without dying — i.e. whether that floor is safely idle-able or needs active play.</t>
  </si>
  <si>
    <t>Enemy Damage (from Floor Scaling)</t>
  </si>
  <si>
    <t>Player Power Index (from Wall Breakpoints)</t>
  </si>
  <si>
    <t>Effective Player HP</t>
  </si>
  <si>
    <t>Effective HP After Safety Buffer</t>
  </si>
  <si>
    <t>Damage After Reduction</t>
  </si>
  <si>
    <t>Idle-Safe?</t>
  </si>
  <si>
    <t>Loot Tier Pools &amp; Time-to-Cap</t>
  </si>
  <si>
    <t>One shared probability per tier, split evenly across items in that tier — not per-item hand-tuning. Edit the blue cells; everything else recalculates.</t>
  </si>
  <si>
    <t>Tier</t>
  </si>
  <si>
    <t>Tier Total Drop Chance</t>
  </si>
  <si>
    <t># Items in Tier</t>
  </si>
  <si>
    <t>Chance per Item</t>
  </si>
  <si>
    <t>Typical Item Cap</t>
  </si>
  <si>
    <t>Chests to Cap One Item</t>
  </si>
  <si>
    <t>Design Intent</t>
  </si>
  <si>
    <t>Starter (near-guaranteed)</t>
  </si>
  <si>
    <t>Instant dopamine, first chest or two</t>
  </si>
  <si>
    <t>Reached within the first real play session</t>
  </si>
  <si>
    <t>Uncommon</t>
  </si>
  <si>
    <t>A solid early-to-mid goal, days not weeks</t>
  </si>
  <si>
    <t>Mid-game chase item, weeks of play</t>
  </si>
  <si>
    <t>Long-haul goal, months of consistent play</t>
  </si>
  <si>
    <t>Rare bragging-rights item, most players won't finish</t>
  </si>
  <si>
    <t>Mythic / trophy</t>
  </si>
  <si>
    <t>Effectively aspirational — not expected to be completed</t>
  </si>
  <si>
    <t>Chests to Cap = Item Cap / Chance per Item — a rough expected-value estimate, not accounting for variance (real players will see a spread around this number).</t>
  </si>
  <si>
    <t>Hero Skill Tree — all 13 skills, in one place</t>
  </si>
  <si>
    <t>Blue cells are editable. Where the source gave an exact per-level formula, it's wired up. Where it only said 'a small percentage,' a placeholder 2%/level is used — swap in your own number once you decide the pace.</t>
  </si>
  <si>
    <t>Skill</t>
  </si>
  <si>
    <t>Category</t>
  </si>
  <si>
    <t>Effect</t>
  </si>
  <si>
    <t>Formula</t>
  </si>
  <si>
    <t>Max Level</t>
  </si>
  <si>
    <t>Current Level</t>
  </si>
  <si>
    <t>Value at Current Level</t>
  </si>
  <si>
    <t>Heroes</t>
  </si>
  <si>
    <t>Core tap mechanic</t>
  </si>
  <si>
    <t>Tap to summon +1 hero</t>
  </si>
  <si>
    <t>n/a — this is the tap action itself, not a leveled stat</t>
  </si>
  <si>
    <t>~4,000,000 (soft/flavor cap)</t>
  </si>
  <si>
    <t>Not really a skill level — the wiki lists a lifetime-summon-count cap here, not a per-level formula.</t>
  </si>
  <si>
    <t>Summon</t>
  </si>
  <si>
    <t>Passive — capacity</t>
  </si>
  <si>
    <t>Increases how many heroes can be active at once</t>
  </si>
  <si>
    <t>Max Pool = Base Pool + 2 x Level</t>
  </si>
  <si>
    <t>Base pool of 10 is a placeholder -- swap for your own starting value.</t>
  </si>
  <si>
    <t>Monster Seal</t>
  </si>
  <si>
    <t>Passive — utility (not power)</t>
  </si>
  <si>
    <t>Seals floors so re-climbing after a reset skips already-cleared ground</t>
  </si>
  <si>
    <t>Floors Sealed = 10 x Level</t>
  </si>
  <si>
    <t>Utility, not a power stat — keeps resets from feeling tedious rather than making you stronger.</t>
  </si>
  <si>
    <t>Monster Auto-Seal</t>
  </si>
  <si>
    <t>Automatically seals floors near your top floor; range expands per level</t>
  </si>
  <si>
    <t>No numeric formula given — descriptive only</t>
  </si>
  <si>
    <t>Companion to Monster Seal; automates it instead of manual sealing.</t>
  </si>
  <si>
    <t>Heroic Berserker</t>
  </si>
  <si>
    <t>Passive — proc rate</t>
  </si>
  <si>
    <t>Increases the chance a powerful berserker hero spawns</t>
  </si>
  <si>
    <t>Appearance Rate = Level x %/Level (2%/level placeholder, editable in the value formula)</t>
  </si>
  <si>
    <t>placeholder</t>
  </si>
  <si>
    <t>Growth Speed</t>
  </si>
  <si>
    <t>Passive — soldier pacing</t>
  </si>
  <si>
    <t>Increases the rate soldiers appear</t>
  </si>
  <si>
    <t>Speed Bonus = Level x 1.5%/Level (placeholder)</t>
  </si>
  <si>
    <t>Power Up</t>
  </si>
  <si>
    <t>Passive — global multiplier</t>
  </si>
  <si>
    <t>Increases soldier and hero ATK and HP together</t>
  </si>
  <si>
    <t>Multiplier = 1 + (Level x 10%) — modeled in the 'Gear Stacking Model' tab</t>
  </si>
  <si>
    <t>This is the same Power Up row from Gear Stacking Model — kept in sync manually; update both if you change the level.</t>
  </si>
  <si>
    <t>Fame</t>
  </si>
  <si>
    <t>Passive — cross-stat dependency</t>
  </si>
  <si>
    <t>Hero attack increases based on total soldier attack</t>
  </si>
  <si>
    <t>Hero ATK Bonus = Total Soldier ATK x (Level x 1%)</t>
  </si>
  <si>
    <t>Uses a placeholder Total Soldier ATK of 100,000 — replace with a real linked value once you have live soldier totals.</t>
  </si>
  <si>
    <t>Doping</t>
  </si>
  <si>
    <t>Active — temporary buff</t>
  </si>
  <si>
    <t>Temporarily increases soldier speed and appearance rate</t>
  </si>
  <si>
    <t>Buff Strength = Level x %/Level (placeholder)</t>
  </si>
  <si>
    <t>Rain of Gold</t>
  </si>
  <si>
    <t>Temporarily increases coin drop from fallen monsters</t>
  </si>
  <si>
    <t>Warp</t>
  </si>
  <si>
    <t>Warriors briefly warp to the top floor with a huge HP/ATK boost</t>
  </si>
  <si>
    <t>Ultimate Summon</t>
  </si>
  <si>
    <t>Active — temporary burst</t>
  </si>
  <si>
    <t>Temporary continuous auto-summon via long press</t>
  </si>
  <si>
    <t>Soldiers = 50 + 5x(Level-1); Rate = 10 + 1x(Level-1) per second</t>
  </si>
  <si>
    <t>Front-loaded: Level 1 alone gives 50 soldiers @ 10/sec — later levels just add small increments, same pattern as gear. Rate/sec = 10+1×(Level-1), shown separately.</t>
  </si>
  <si>
    <t>New Dungeon</t>
  </si>
  <si>
    <t>Prestige / reset</t>
  </si>
  <si>
    <t>Resets the tower to floor 1; gear is kept, dropped items reset</t>
  </si>
  <si>
    <t>See the 'Prestige Curve' tab for the reward-per-reset model</t>
  </si>
  <si>
    <t>N/A</t>
  </si>
  <si>
    <t>n/a</t>
  </si>
  <si>
    <t>This is your reset/prestige button — already modeled elsewhere in this workbook.</t>
  </si>
  <si>
    <t>Gold Pacing — Floor-Clear Currency</t>
  </si>
  <si>
    <t>Gold is earned by clearing floors and spent on Hero &amp; Skill upgrades and Soldier upgrades — a completely separate wallet from Shop Currency (see 'Shop Currency (Daily+Ads)' tab), which only buys Shop boosts and the Fire Sword.</t>
  </si>
  <si>
    <t>Gold Earned on Clear</t>
  </si>
  <si>
    <t>Cumulative Gold Earned</t>
  </si>
  <si>
    <t>This mirrors the GOLD_PER_KILL_BASE / GOLD_PER_KILL_PER_FLOOR constants already in Main.gd, so the spreadsheet and the Godot starter project stay in sync — change Assumptions!B26/B27 here and update the matching constants in the script if you tune it.</t>
  </si>
  <si>
    <t>Gear Stacking Model — Same Family Adds, Different Families Multiply</t>
  </si>
  <si>
    <t>All matching formulas key off the ID columns, never the Display Name. Rename any Display Name cell freely at any time — nothing breaks, because the formulas never look at that text. This mirrors how the actual game should be built too: an internal ID for logic, a separate display-name lookup for the UI. See the brief's Naming section for the Godot-side version of this.</t>
  </si>
  <si>
    <t>Item Inputs</t>
  </si>
  <si>
    <t>Item ID (used by formulas)</t>
  </si>
  <si>
    <t>Display Name (edit freely)</t>
  </si>
  <si>
    <t>Stat Affected</t>
  </si>
  <si>
    <t>Family ID (used by formulas)</t>
  </si>
  <si>
    <t>Family Display Name (edit freely)</t>
  </si>
  <si>
    <t>Level</t>
  </si>
  <si>
    <t>Bonus % at this Level</t>
  </si>
  <si>
    <t>sword_t1</t>
  </si>
  <si>
    <t>Short Sword</t>
  </si>
  <si>
    <t>Attack</t>
  </si>
  <si>
    <t>sword_family</t>
  </si>
  <si>
    <t>Sword Family</t>
  </si>
  <si>
    <t>Community datapoint — see note below on formula mismatch</t>
  </si>
  <si>
    <t>sword_t2</t>
  </si>
  <si>
    <t>Longsword</t>
  </si>
  <si>
    <t>Same family as sword_t1 — bonuses add together</t>
  </si>
  <si>
    <t>axe_t1</t>
  </si>
  <si>
    <t>Battleaxe</t>
  </si>
  <si>
    <t>axe_solo</t>
  </si>
  <si>
    <t>Battleaxe Family</t>
  </si>
  <si>
    <t>Separate family — multiplies onto sword_family's total</t>
  </si>
  <si>
    <t>armor_t1</t>
  </si>
  <si>
    <t>Light Armor</t>
  </si>
  <si>
    <t>armor_family</t>
  </si>
  <si>
    <t>Armor Family</t>
  </si>
  <si>
    <t>armor_t2</t>
  </si>
  <si>
    <t>Heavy Armor</t>
  </si>
  <si>
    <t>Same family as armor_t1 — bonuses add together</t>
  </si>
  <si>
    <t>helm_t1</t>
  </si>
  <si>
    <t>Great Helm</t>
  </si>
  <si>
    <t>helm_solo</t>
  </si>
  <si>
    <t>Great Helm Family</t>
  </si>
  <si>
    <t>Separate family — multiplies onto armor_family's total</t>
  </si>
  <si>
    <t>Family Totals (matched by Family ID — same-family bonuses summed)</t>
  </si>
  <si>
    <t>Stat</t>
  </si>
  <si>
    <t>Family ID</t>
  </si>
  <si>
    <t>Family Display Name</t>
  </si>
  <si>
    <t>Summed Bonus %</t>
  </si>
  <si>
    <t>Multiplier Contributed (1 + bonus)</t>
  </si>
  <si>
    <t>Account-Wide Skills (multiply on top of gear — not tied to any item)</t>
  </si>
  <si>
    <t>Bonus per Level</t>
  </si>
  <si>
    <t>Multiplier Contributed (1 + level*bonus)</t>
  </si>
  <si>
    <t>Power Up (ATK &amp; HP, +10%/level, cap 200)</t>
  </si>
  <si>
    <t>Applies equally to both Attack and HP — separate from any gear family, always multiplies last</t>
  </si>
  <si>
    <t>Final Stat — Correct Model vs. the Naive (wrong) Model</t>
  </si>
  <si>
    <t>Base Stat (before any gear)</t>
  </si>
  <si>
    <t>Correct model — Attack: gear families multiply, then Power Up multiplies last</t>
  </si>
  <si>
    <t>Sword Family and Battleaxe Family multiply onto each other, then Power Up multiplies onto that</t>
  </si>
  <si>
    <t>Correct model — HP: gear families multiply, then Power Up multiplies last</t>
  </si>
  <si>
    <t>Naive model (wrong) — Attack, all % (gear + Power Up) just added together</t>
  </si>
  <si>
    <t>Shown only to illustrate how far off the flat-addition assumption would be</t>
  </si>
  <si>
    <t>Reusable rule for your own build: give every stat-boosting item an ID and a Family ID (both permanent, never shown to the player) plus a Display Name and Family Display Name (both freely renameable, shown to the player). Formulas/matching always key off the ID columns. Same-family items sum, different families multiply, then account-wide skills multiply in last. One generic formula, reused for every item.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</si>
</sst>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.0"/>
    <numFmt numFmtId="166" formatCode="0.000000%"/>
  </numFmts>
  <fonts count="11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FF"/>
      <name val="Arial"/>
    </font>
    <font>
      <i/>
      <sz val="9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  <font/>
    <font>
      <sz val="10.0"/>
      <color rgb="FF7F7F7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9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top" wrapText="1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2" fillId="3" fontId="8" numFmtId="0" xfId="0" applyAlignment="1" applyBorder="1" applyFill="1" applyFont="1">
      <alignment shrinkToFit="0" vertical="bottom" wrapText="0"/>
    </xf>
    <xf borderId="3" fillId="0" fontId="9" numFmtId="0" xfId="0" applyBorder="1" applyFont="1"/>
    <xf borderId="4" fillId="0" fontId="9" numFmtId="0" xfId="0" applyBorder="1" applyFont="1"/>
    <xf borderId="1" fillId="0" fontId="10" numFmtId="0" xfId="0" applyAlignment="1" applyBorder="1" applyFont="1">
      <alignment shrinkToFit="0" vertical="bottom" wrapText="0"/>
    </xf>
    <xf borderId="1" fillId="0" fontId="5" numFmtId="10" xfId="0" applyAlignment="1" applyBorder="1" applyFont="1" applyNumberFormat="1">
      <alignment shrinkToFit="0" vertical="bottom" wrapText="0"/>
    </xf>
    <xf borderId="1" fillId="0" fontId="2" numFmtId="10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2.0"/>
    <col customWidth="1" min="2" max="3" width="14.0"/>
    <col customWidth="1" min="4" max="4" width="46.0"/>
    <col customWidth="1" min="5" max="26" width="8.71"/>
  </cols>
  <sheetData>
    <row r="1" ht="17.25" customHeight="1">
      <c r="A1" s="1" t="s">
        <v>0</v>
      </c>
    </row>
    <row r="2">
      <c r="A2" s="2"/>
      <c r="B2" s="2"/>
      <c r="C2" s="2"/>
      <c r="D2" s="2"/>
    </row>
    <row r="3" ht="15.0" customHeight="1">
      <c r="A3" s="3" t="s">
        <v>1</v>
      </c>
      <c r="B3" s="3" t="s">
        <v>2</v>
      </c>
      <c r="C3" s="3" t="s">
        <v>3</v>
      </c>
      <c r="D3" s="3" t="s">
        <v>4</v>
      </c>
    </row>
    <row r="4" ht="15.0" customHeight="1">
      <c r="A4" s="4" t="s">
        <v>5</v>
      </c>
      <c r="B4" s="5">
        <v>20.0</v>
      </c>
      <c r="C4" s="4" t="s">
        <v>6</v>
      </c>
      <c r="D4" s="4" t="s">
        <v>7</v>
      </c>
    </row>
    <row r="5" ht="15.0" customHeight="1">
      <c r="A5" s="4" t="s">
        <v>8</v>
      </c>
      <c r="B5" s="5">
        <v>0.08</v>
      </c>
      <c r="C5" s="4" t="s">
        <v>9</v>
      </c>
      <c r="D5" s="4" t="s">
        <v>10</v>
      </c>
    </row>
    <row r="6" ht="15.0" customHeight="1">
      <c r="A6" s="4" t="s">
        <v>11</v>
      </c>
      <c r="B6" s="5">
        <v>3.0</v>
      </c>
      <c r="C6" s="4" t="s">
        <v>12</v>
      </c>
      <c r="D6" s="4"/>
    </row>
    <row r="7" ht="15.0" customHeight="1">
      <c r="A7" s="4" t="s">
        <v>13</v>
      </c>
      <c r="B7" s="5">
        <v>0.06</v>
      </c>
      <c r="C7" s="4" t="s">
        <v>9</v>
      </c>
      <c r="D7" s="4"/>
    </row>
    <row r="8" ht="15.0" customHeight="1">
      <c r="A8" s="4" t="s">
        <v>14</v>
      </c>
      <c r="B8" s="5">
        <v>10.0</v>
      </c>
      <c r="C8" s="4" t="s">
        <v>15</v>
      </c>
      <c r="D8" s="4" t="s">
        <v>16</v>
      </c>
    </row>
    <row r="9" ht="15.0" customHeight="1">
      <c r="A9" s="4" t="s">
        <v>17</v>
      </c>
      <c r="B9" s="5">
        <v>3.0</v>
      </c>
      <c r="C9" s="4" t="s">
        <v>18</v>
      </c>
      <c r="D9" s="4" t="s">
        <v>19</v>
      </c>
    </row>
    <row r="10" ht="15.0" customHeight="1">
      <c r="A10" s="4" t="s">
        <v>20</v>
      </c>
      <c r="B10" s="5">
        <v>30.0</v>
      </c>
      <c r="C10" s="4" t="s">
        <v>6</v>
      </c>
      <c r="D10" s="4"/>
    </row>
    <row r="11" ht="15.0" customHeight="1">
      <c r="A11" s="4" t="s">
        <v>21</v>
      </c>
      <c r="B11" s="5">
        <v>5.0</v>
      </c>
      <c r="C11" s="4" t="s">
        <v>12</v>
      </c>
      <c r="D11" s="4"/>
    </row>
    <row r="12" ht="15.0" customHeight="1">
      <c r="A12" s="4" t="s">
        <v>22</v>
      </c>
      <c r="B12" s="5">
        <v>0.15</v>
      </c>
      <c r="C12" s="4" t="s">
        <v>23</v>
      </c>
      <c r="D12" s="4" t="s">
        <v>24</v>
      </c>
    </row>
    <row r="13" ht="15.0" customHeight="1">
      <c r="A13" s="4" t="s">
        <v>25</v>
      </c>
      <c r="B13" s="5">
        <v>4.0</v>
      </c>
      <c r="C13" s="4" t="s">
        <v>26</v>
      </c>
      <c r="D13" s="4"/>
    </row>
    <row r="14" ht="15.0" customHeight="1">
      <c r="A14" s="4" t="s">
        <v>27</v>
      </c>
      <c r="B14" s="5">
        <v>5.0</v>
      </c>
      <c r="C14" s="4" t="s">
        <v>28</v>
      </c>
      <c r="D14" s="4"/>
    </row>
    <row r="15" ht="15.0" customHeight="1">
      <c r="A15" s="4" t="s">
        <v>29</v>
      </c>
      <c r="B15" s="5">
        <v>10.0</v>
      </c>
      <c r="C15" s="4" t="s">
        <v>30</v>
      </c>
      <c r="D15" s="4"/>
    </row>
    <row r="16" ht="15.0" customHeight="1">
      <c r="A16" s="4" t="s">
        <v>31</v>
      </c>
      <c r="B16" s="5">
        <v>5.0</v>
      </c>
      <c r="C16" s="4" t="s">
        <v>32</v>
      </c>
      <c r="D16" s="4" t="s">
        <v>33</v>
      </c>
    </row>
    <row r="17" ht="15.0" customHeight="1">
      <c r="A17" s="4" t="s">
        <v>34</v>
      </c>
      <c r="B17" s="5">
        <v>7.0</v>
      </c>
      <c r="C17" s="4" t="s">
        <v>35</v>
      </c>
      <c r="D17" s="4" t="s">
        <v>36</v>
      </c>
    </row>
    <row r="18" ht="15.0" customHeight="1">
      <c r="A18" s="4" t="s">
        <v>37</v>
      </c>
      <c r="B18" s="5">
        <v>15.0</v>
      </c>
      <c r="C18" s="4" t="s">
        <v>30</v>
      </c>
      <c r="D18" s="4"/>
    </row>
    <row r="19" ht="15.0" customHeight="1">
      <c r="A19" s="4" t="s">
        <v>38</v>
      </c>
      <c r="B19" s="5">
        <v>5.0</v>
      </c>
      <c r="C19" s="4" t="s">
        <v>39</v>
      </c>
      <c r="D19" s="4"/>
    </row>
    <row r="20" ht="15.0" customHeight="1">
      <c r="A20" s="4" t="s">
        <v>40</v>
      </c>
      <c r="B20" s="5">
        <v>1.0</v>
      </c>
      <c r="C20" s="4" t="s">
        <v>41</v>
      </c>
      <c r="D20" s="4" t="s">
        <v>42</v>
      </c>
    </row>
    <row r="21" ht="15.0" customHeight="1">
      <c r="A21" s="4" t="s">
        <v>43</v>
      </c>
      <c r="B21" s="5">
        <v>10.0</v>
      </c>
      <c r="C21" s="4" t="s">
        <v>15</v>
      </c>
      <c r="D21" s="4" t="s">
        <v>44</v>
      </c>
    </row>
    <row r="22" ht="15.0" customHeight="1">
      <c r="A22" s="4" t="s">
        <v>45</v>
      </c>
      <c r="B22" s="5">
        <v>3.0</v>
      </c>
      <c r="C22" s="4" t="s">
        <v>18</v>
      </c>
      <c r="D22" s="4" t="s">
        <v>46</v>
      </c>
    </row>
    <row r="23" ht="15.0" customHeight="1">
      <c r="A23" s="4" t="s">
        <v>47</v>
      </c>
      <c r="B23" s="6">
        <v>0.02</v>
      </c>
      <c r="C23" s="4" t="s">
        <v>9</v>
      </c>
      <c r="D23" s="4" t="s">
        <v>48</v>
      </c>
    </row>
    <row r="24" ht="15.0" customHeight="1">
      <c r="A24" s="4" t="s">
        <v>49</v>
      </c>
      <c r="B24" s="6">
        <v>0.3</v>
      </c>
      <c r="C24" s="4" t="s">
        <v>50</v>
      </c>
      <c r="D24" s="4" t="s">
        <v>51</v>
      </c>
    </row>
    <row r="25" ht="15.0" customHeight="1">
      <c r="A25" s="4" t="s">
        <v>52</v>
      </c>
      <c r="B25" s="6">
        <v>0.1</v>
      </c>
      <c r="C25" s="4" t="s">
        <v>53</v>
      </c>
      <c r="D25" s="4" t="s">
        <v>54</v>
      </c>
    </row>
    <row r="26" ht="15.0" customHeight="1">
      <c r="A26" s="4" t="s">
        <v>55</v>
      </c>
      <c r="B26" s="5">
        <v>8.0</v>
      </c>
      <c r="C26" s="4" t="s">
        <v>56</v>
      </c>
      <c r="D26" s="4" t="s">
        <v>57</v>
      </c>
    </row>
    <row r="27" ht="15.0" customHeight="1">
      <c r="A27" s="4" t="s">
        <v>58</v>
      </c>
      <c r="B27" s="5">
        <v>3.0</v>
      </c>
      <c r="C27" s="4" t="s">
        <v>59</v>
      </c>
      <c r="D27" s="4" t="s">
        <v>60</v>
      </c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4" width="14.0"/>
    <col customWidth="1" min="5" max="6" width="30.0"/>
    <col customWidth="1" min="7" max="26" width="8.71"/>
  </cols>
  <sheetData>
    <row r="1" ht="17.25" customHeight="1">
      <c r="A1" s="1" t="s">
        <v>61</v>
      </c>
    </row>
    <row r="2" ht="15.0" customHeight="1">
      <c r="A2" s="7" t="s">
        <v>62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</row>
    <row r="5" ht="15.0" customHeight="1">
      <c r="A5" s="4">
        <v>1.0</v>
      </c>
      <c r="B5" s="8" t="str">
        <f>IF(MOD(A5,Assumptions!$B$8)=0,"Boss","")</f>
        <v/>
      </c>
      <c r="C5" s="9">
        <f>Assumptions!$B$4*(1+Assumptions!$B$5)^(A5-1)*IF(B5="Boss",Assumptions!$B$9,1)</f>
        <v>20</v>
      </c>
      <c r="D5" s="9">
        <f>Assumptions!$B$6*(1+Assumptions!$B$7)^(A5-1)*IF(B5="Boss",1.5,1)</f>
        <v>3</v>
      </c>
      <c r="E5" s="9">
        <f t="shared" ref="E5:E104" si="1">D5*5</f>
        <v>15</v>
      </c>
      <c r="F5" s="9">
        <f t="shared" ref="F5:F104" si="2">C5/5</f>
        <v>4</v>
      </c>
    </row>
    <row r="6" ht="15.0" customHeight="1">
      <c r="A6" s="4">
        <v>2.0</v>
      </c>
      <c r="B6" s="8" t="str">
        <f>IF(MOD(A6,Assumptions!$B$8)=0,"Boss","")</f>
        <v/>
      </c>
      <c r="C6" s="9">
        <f>Assumptions!$B$4*(1+Assumptions!$B$5)^(A6-1)*IF(B6="Boss",Assumptions!$B$9,1)</f>
        <v>21.6</v>
      </c>
      <c r="D6" s="9">
        <f>Assumptions!$B$6*(1+Assumptions!$B$7)^(A6-1)*IF(B6="Boss",1.5,1)</f>
        <v>3.18</v>
      </c>
      <c r="E6" s="9">
        <f t="shared" si="1"/>
        <v>15.9</v>
      </c>
      <c r="F6" s="9">
        <f t="shared" si="2"/>
        <v>4.32</v>
      </c>
    </row>
    <row r="7" ht="15.0" customHeight="1">
      <c r="A7" s="4">
        <v>3.0</v>
      </c>
      <c r="B7" s="8" t="str">
        <f>IF(MOD(A7,Assumptions!$B$8)=0,"Boss","")</f>
        <v/>
      </c>
      <c r="C7" s="9">
        <f>Assumptions!$B$4*(1+Assumptions!$B$5)^(A7-1)*IF(B7="Boss",Assumptions!$B$9,1)</f>
        <v>23.328</v>
      </c>
      <c r="D7" s="9">
        <f>Assumptions!$B$6*(1+Assumptions!$B$7)^(A7-1)*IF(B7="Boss",1.5,1)</f>
        <v>3.3708</v>
      </c>
      <c r="E7" s="9">
        <f t="shared" si="1"/>
        <v>16.854</v>
      </c>
      <c r="F7" s="9">
        <f t="shared" si="2"/>
        <v>4.6656</v>
      </c>
    </row>
    <row r="8" ht="15.0" customHeight="1">
      <c r="A8" s="4">
        <v>4.0</v>
      </c>
      <c r="B8" s="8" t="str">
        <f>IF(MOD(A8,Assumptions!$B$8)=0,"Boss","")</f>
        <v/>
      </c>
      <c r="C8" s="9">
        <f>Assumptions!$B$4*(1+Assumptions!$B$5)^(A8-1)*IF(B8="Boss",Assumptions!$B$9,1)</f>
        <v>25.19424</v>
      </c>
      <c r="D8" s="9">
        <f>Assumptions!$B$6*(1+Assumptions!$B$7)^(A8-1)*IF(B8="Boss",1.5,1)</f>
        <v>3.573048</v>
      </c>
      <c r="E8" s="9">
        <f t="shared" si="1"/>
        <v>17.86524</v>
      </c>
      <c r="F8" s="9">
        <f t="shared" si="2"/>
        <v>5.038848</v>
      </c>
    </row>
    <row r="9" ht="15.0" customHeight="1">
      <c r="A9" s="4">
        <v>5.0</v>
      </c>
      <c r="B9" s="8" t="str">
        <f>IF(MOD(A9,Assumptions!$B$8)=0,"Boss","")</f>
        <v/>
      </c>
      <c r="C9" s="9">
        <f>Assumptions!$B$4*(1+Assumptions!$B$5)^(A9-1)*IF(B9="Boss",Assumptions!$B$9,1)</f>
        <v>27.2097792</v>
      </c>
      <c r="D9" s="9">
        <f>Assumptions!$B$6*(1+Assumptions!$B$7)^(A9-1)*IF(B9="Boss",1.5,1)</f>
        <v>3.78743088</v>
      </c>
      <c r="E9" s="9">
        <f t="shared" si="1"/>
        <v>18.9371544</v>
      </c>
      <c r="F9" s="9">
        <f t="shared" si="2"/>
        <v>5.44195584</v>
      </c>
    </row>
    <row r="10" ht="15.0" customHeight="1">
      <c r="A10" s="4">
        <v>6.0</v>
      </c>
      <c r="B10" s="8" t="str">
        <f>IF(MOD(A10,Assumptions!$B$8)=0,"Boss","")</f>
        <v/>
      </c>
      <c r="C10" s="9">
        <f>Assumptions!$B$4*(1+Assumptions!$B$5)^(A10-1)*IF(B10="Boss",Assumptions!$B$9,1)</f>
        <v>29.38656154</v>
      </c>
      <c r="D10" s="9">
        <f>Assumptions!$B$6*(1+Assumptions!$B$7)^(A10-1)*IF(B10="Boss",1.5,1)</f>
        <v>4.014676733</v>
      </c>
      <c r="E10" s="9">
        <f t="shared" si="1"/>
        <v>20.07338366</v>
      </c>
      <c r="F10" s="9">
        <f t="shared" si="2"/>
        <v>5.877312307</v>
      </c>
    </row>
    <row r="11" ht="15.0" customHeight="1">
      <c r="A11" s="4">
        <v>7.0</v>
      </c>
      <c r="B11" s="8" t="str">
        <f>IF(MOD(A11,Assumptions!$B$8)=0,"Boss","")</f>
        <v/>
      </c>
      <c r="C11" s="9">
        <f>Assumptions!$B$4*(1+Assumptions!$B$5)^(A11-1)*IF(B11="Boss",Assumptions!$B$9,1)</f>
        <v>31.73748646</v>
      </c>
      <c r="D11" s="9">
        <f>Assumptions!$B$6*(1+Assumptions!$B$7)^(A11-1)*IF(B11="Boss",1.5,1)</f>
        <v>4.255557337</v>
      </c>
      <c r="E11" s="9">
        <f t="shared" si="1"/>
        <v>21.27778668</v>
      </c>
      <c r="F11" s="9">
        <f t="shared" si="2"/>
        <v>6.347497292</v>
      </c>
    </row>
    <row r="12" ht="15.0" customHeight="1">
      <c r="A12" s="4">
        <v>8.0</v>
      </c>
      <c r="B12" s="8" t="str">
        <f>IF(MOD(A12,Assumptions!$B$8)=0,"Boss","")</f>
        <v/>
      </c>
      <c r="C12" s="9">
        <f>Assumptions!$B$4*(1+Assumptions!$B$5)^(A12-1)*IF(B12="Boss",Assumptions!$B$9,1)</f>
        <v>34.27648538</v>
      </c>
      <c r="D12" s="9">
        <f>Assumptions!$B$6*(1+Assumptions!$B$7)^(A12-1)*IF(B12="Boss",1.5,1)</f>
        <v>4.510890777</v>
      </c>
      <c r="E12" s="9">
        <f t="shared" si="1"/>
        <v>22.55445388</v>
      </c>
      <c r="F12" s="9">
        <f t="shared" si="2"/>
        <v>6.855297075</v>
      </c>
    </row>
    <row r="13" ht="15.0" customHeight="1">
      <c r="A13" s="4">
        <v>9.0</v>
      </c>
      <c r="B13" s="8" t="str">
        <f>IF(MOD(A13,Assumptions!$B$8)=0,"Boss","")</f>
        <v/>
      </c>
      <c r="C13" s="9">
        <f>Assumptions!$B$4*(1+Assumptions!$B$5)^(A13-1)*IF(B13="Boss",Assumptions!$B$9,1)</f>
        <v>37.01860421</v>
      </c>
      <c r="D13" s="9">
        <f>Assumptions!$B$6*(1+Assumptions!$B$7)^(A13-1)*IF(B13="Boss",1.5,1)</f>
        <v>4.781544224</v>
      </c>
      <c r="E13" s="9">
        <f t="shared" si="1"/>
        <v>23.90772112</v>
      </c>
      <c r="F13" s="9">
        <f t="shared" si="2"/>
        <v>7.403720841</v>
      </c>
    </row>
    <row r="14" ht="15.0" customHeight="1">
      <c r="A14" s="4">
        <v>10.0</v>
      </c>
      <c r="B14" s="8" t="str">
        <f>IF(MOD(A14,Assumptions!$B$8)=0,"Boss","")</f>
        <v>Boss</v>
      </c>
      <c r="C14" s="9">
        <f>Assumptions!$B$4*(1+Assumptions!$B$5)^(A14-1)*IF(B14="Boss",Assumptions!$B$9,1)</f>
        <v>119.9402776</v>
      </c>
      <c r="D14" s="9">
        <f>Assumptions!$B$6*(1+Assumptions!$B$7)^(A14-1)*IF(B14="Boss",1.5,1)</f>
        <v>7.602655316</v>
      </c>
      <c r="E14" s="9">
        <f t="shared" si="1"/>
        <v>38.01327658</v>
      </c>
      <c r="F14" s="9">
        <f t="shared" si="2"/>
        <v>23.98805553</v>
      </c>
    </row>
    <row r="15" ht="15.0" customHeight="1">
      <c r="A15" s="4">
        <v>11.0</v>
      </c>
      <c r="B15" s="8" t="str">
        <f>IF(MOD(A15,Assumptions!$B$8)=0,"Boss","")</f>
        <v/>
      </c>
      <c r="C15" s="9">
        <f>Assumptions!$B$4*(1+Assumptions!$B$5)^(A15-1)*IF(B15="Boss",Assumptions!$B$9,1)</f>
        <v>43.17849995</v>
      </c>
      <c r="D15" s="9">
        <f>Assumptions!$B$6*(1+Assumptions!$B$7)^(A15-1)*IF(B15="Boss",1.5,1)</f>
        <v>5.37254309</v>
      </c>
      <c r="E15" s="9">
        <f t="shared" si="1"/>
        <v>26.86271545</v>
      </c>
      <c r="F15" s="9">
        <f t="shared" si="2"/>
        <v>8.635699989</v>
      </c>
    </row>
    <row r="16" ht="15.0" customHeight="1">
      <c r="A16" s="4">
        <v>12.0</v>
      </c>
      <c r="B16" s="8" t="str">
        <f>IF(MOD(A16,Assumptions!$B$8)=0,"Boss","")</f>
        <v/>
      </c>
      <c r="C16" s="9">
        <f>Assumptions!$B$4*(1+Assumptions!$B$5)^(A16-1)*IF(B16="Boss",Assumptions!$B$9,1)</f>
        <v>46.63277994</v>
      </c>
      <c r="D16" s="9">
        <f>Assumptions!$B$6*(1+Assumptions!$B$7)^(A16-1)*IF(B16="Boss",1.5,1)</f>
        <v>5.694895675</v>
      </c>
      <c r="E16" s="9">
        <f t="shared" si="1"/>
        <v>28.47447838</v>
      </c>
      <c r="F16" s="9">
        <f t="shared" si="2"/>
        <v>9.326555988</v>
      </c>
    </row>
    <row r="17" ht="15.0" customHeight="1">
      <c r="A17" s="4">
        <v>13.0</v>
      </c>
      <c r="B17" s="8" t="str">
        <f>IF(MOD(A17,Assumptions!$B$8)=0,"Boss","")</f>
        <v/>
      </c>
      <c r="C17" s="9">
        <f>Assumptions!$B$4*(1+Assumptions!$B$5)^(A17-1)*IF(B17="Boss",Assumptions!$B$9,1)</f>
        <v>50.36340234</v>
      </c>
      <c r="D17" s="9">
        <f>Assumptions!$B$6*(1+Assumptions!$B$7)^(A17-1)*IF(B17="Boss",1.5,1)</f>
        <v>6.036589416</v>
      </c>
      <c r="E17" s="9">
        <f t="shared" si="1"/>
        <v>30.18294708</v>
      </c>
      <c r="F17" s="9">
        <f t="shared" si="2"/>
        <v>10.07268047</v>
      </c>
    </row>
    <row r="18" ht="15.0" customHeight="1">
      <c r="A18" s="4">
        <v>14.0</v>
      </c>
      <c r="B18" s="8" t="str">
        <f>IF(MOD(A18,Assumptions!$B$8)=0,"Boss","")</f>
        <v/>
      </c>
      <c r="C18" s="9">
        <f>Assumptions!$B$4*(1+Assumptions!$B$5)^(A18-1)*IF(B18="Boss",Assumptions!$B$9,1)</f>
        <v>54.39247452</v>
      </c>
      <c r="D18" s="9">
        <f>Assumptions!$B$6*(1+Assumptions!$B$7)^(A18-1)*IF(B18="Boss",1.5,1)</f>
        <v>6.39878478</v>
      </c>
      <c r="E18" s="9">
        <f t="shared" si="1"/>
        <v>31.9939239</v>
      </c>
      <c r="F18" s="9">
        <f t="shared" si="2"/>
        <v>10.8784949</v>
      </c>
    </row>
    <row r="19" ht="15.0" customHeight="1">
      <c r="A19" s="4">
        <v>15.0</v>
      </c>
      <c r="B19" s="8" t="str">
        <f>IF(MOD(A19,Assumptions!$B$8)=0,"Boss","")</f>
        <v/>
      </c>
      <c r="C19" s="9">
        <f>Assumptions!$B$4*(1+Assumptions!$B$5)^(A19-1)*IF(B19="Boss",Assumptions!$B$9,1)</f>
        <v>58.74387249</v>
      </c>
      <c r="D19" s="9">
        <f>Assumptions!$B$6*(1+Assumptions!$B$7)^(A19-1)*IF(B19="Boss",1.5,1)</f>
        <v>6.782711867</v>
      </c>
      <c r="E19" s="9">
        <f t="shared" si="1"/>
        <v>33.91355934</v>
      </c>
      <c r="F19" s="9">
        <f t="shared" si="2"/>
        <v>11.7487745</v>
      </c>
    </row>
    <row r="20" ht="15.0" customHeight="1">
      <c r="A20" s="4">
        <v>16.0</v>
      </c>
      <c r="B20" s="8" t="str">
        <f>IF(MOD(A20,Assumptions!$B$8)=0,"Boss","")</f>
        <v/>
      </c>
      <c r="C20" s="9">
        <f>Assumptions!$B$4*(1+Assumptions!$B$5)^(A20-1)*IF(B20="Boss",Assumptions!$B$9,1)</f>
        <v>63.44338228</v>
      </c>
      <c r="D20" s="9">
        <f>Assumptions!$B$6*(1+Assumptions!$B$7)^(A20-1)*IF(B20="Boss",1.5,1)</f>
        <v>7.189674579</v>
      </c>
      <c r="E20" s="9">
        <f t="shared" si="1"/>
        <v>35.9483729</v>
      </c>
      <c r="F20" s="9">
        <f t="shared" si="2"/>
        <v>12.68867646</v>
      </c>
    </row>
    <row r="21" ht="15.0" customHeight="1">
      <c r="A21" s="4">
        <v>17.0</v>
      </c>
      <c r="B21" s="8" t="str">
        <f>IF(MOD(A21,Assumptions!$B$8)=0,"Boss","")</f>
        <v/>
      </c>
      <c r="C21" s="9">
        <f>Assumptions!$B$4*(1+Assumptions!$B$5)^(A21-1)*IF(B21="Boss",Assumptions!$B$9,1)</f>
        <v>68.51885287</v>
      </c>
      <c r="D21" s="9">
        <f>Assumptions!$B$6*(1+Assumptions!$B$7)^(A21-1)*IF(B21="Boss",1.5,1)</f>
        <v>7.621055054</v>
      </c>
      <c r="E21" s="9">
        <f t="shared" si="1"/>
        <v>38.10527527</v>
      </c>
      <c r="F21" s="9">
        <f t="shared" si="2"/>
        <v>13.70377057</v>
      </c>
    </row>
    <row r="22" ht="15.0" customHeight="1">
      <c r="A22" s="4">
        <v>18.0</v>
      </c>
      <c r="B22" s="8" t="str">
        <f>IF(MOD(A22,Assumptions!$B$8)=0,"Boss","")</f>
        <v/>
      </c>
      <c r="C22" s="9">
        <f>Assumptions!$B$4*(1+Assumptions!$B$5)^(A22-1)*IF(B22="Boss",Assumptions!$B$9,1)</f>
        <v>74.0003611</v>
      </c>
      <c r="D22" s="9">
        <f>Assumptions!$B$6*(1+Assumptions!$B$7)^(A22-1)*IF(B22="Boss",1.5,1)</f>
        <v>8.078318357</v>
      </c>
      <c r="E22" s="9">
        <f t="shared" si="1"/>
        <v>40.39159179</v>
      </c>
      <c r="F22" s="9">
        <f t="shared" si="2"/>
        <v>14.80007222</v>
      </c>
    </row>
    <row r="23" ht="15.0" customHeight="1">
      <c r="A23" s="4">
        <v>19.0</v>
      </c>
      <c r="B23" s="8" t="str">
        <f>IF(MOD(A23,Assumptions!$B$8)=0,"Boss","")</f>
        <v/>
      </c>
      <c r="C23" s="9">
        <f>Assumptions!$B$4*(1+Assumptions!$B$5)^(A23-1)*IF(B23="Boss",Assumptions!$B$9,1)</f>
        <v>79.92038998</v>
      </c>
      <c r="D23" s="9">
        <f>Assumptions!$B$6*(1+Assumptions!$B$7)^(A23-1)*IF(B23="Boss",1.5,1)</f>
        <v>8.563017459</v>
      </c>
      <c r="E23" s="9">
        <f t="shared" si="1"/>
        <v>42.81508729</v>
      </c>
      <c r="F23" s="9">
        <f t="shared" si="2"/>
        <v>15.984078</v>
      </c>
    </row>
    <row r="24" ht="15.0" customHeight="1">
      <c r="A24" s="4">
        <v>20.0</v>
      </c>
      <c r="B24" s="8" t="str">
        <f>IF(MOD(A24,Assumptions!$B$8)=0,"Boss","")</f>
        <v>Boss</v>
      </c>
      <c r="C24" s="9">
        <f>Assumptions!$B$4*(1+Assumptions!$B$5)^(A24-1)*IF(B24="Boss",Assumptions!$B$9,1)</f>
        <v>258.9420635</v>
      </c>
      <c r="D24" s="9">
        <f>Assumptions!$B$6*(1+Assumptions!$B$7)^(A24-1)*IF(B24="Boss",1.5,1)</f>
        <v>13.61519776</v>
      </c>
      <c r="E24" s="9">
        <f t="shared" si="1"/>
        <v>68.0759888</v>
      </c>
      <c r="F24" s="9">
        <f t="shared" si="2"/>
        <v>51.78841271</v>
      </c>
    </row>
    <row r="25" ht="15.0" customHeight="1">
      <c r="A25" s="4">
        <v>21.0</v>
      </c>
      <c r="B25" s="8" t="str">
        <f>IF(MOD(A25,Assumptions!$B$8)=0,"Boss","")</f>
        <v/>
      </c>
      <c r="C25" s="9">
        <f>Assumptions!$B$4*(1+Assumptions!$B$5)^(A25-1)*IF(B25="Boss",Assumptions!$B$9,1)</f>
        <v>93.21914288</v>
      </c>
      <c r="D25" s="9">
        <f>Assumptions!$B$6*(1+Assumptions!$B$7)^(A25-1)*IF(B25="Boss",1.5,1)</f>
        <v>9.621406417</v>
      </c>
      <c r="E25" s="9">
        <f t="shared" si="1"/>
        <v>48.10703208</v>
      </c>
      <c r="F25" s="9">
        <f t="shared" si="2"/>
        <v>18.64382858</v>
      </c>
    </row>
    <row r="26" ht="15.0" customHeight="1">
      <c r="A26" s="4">
        <v>22.0</v>
      </c>
      <c r="B26" s="8" t="str">
        <f>IF(MOD(A26,Assumptions!$B$8)=0,"Boss","")</f>
        <v/>
      </c>
      <c r="C26" s="9">
        <f>Assumptions!$B$4*(1+Assumptions!$B$5)^(A26-1)*IF(B26="Boss",Assumptions!$B$9,1)</f>
        <v>100.6766743</v>
      </c>
      <c r="D26" s="9">
        <f>Assumptions!$B$6*(1+Assumptions!$B$7)^(A26-1)*IF(B26="Boss",1.5,1)</f>
        <v>10.1986908</v>
      </c>
      <c r="E26" s="9">
        <f t="shared" si="1"/>
        <v>50.99345401</v>
      </c>
      <c r="F26" s="9">
        <f t="shared" si="2"/>
        <v>20.13533486</v>
      </c>
    </row>
    <row r="27" ht="15.0" customHeight="1">
      <c r="A27" s="4">
        <v>23.0</v>
      </c>
      <c r="B27" s="8" t="str">
        <f>IF(MOD(A27,Assumptions!$B$8)=0,"Boss","")</f>
        <v/>
      </c>
      <c r="C27" s="9">
        <f>Assumptions!$B$4*(1+Assumptions!$B$5)^(A27-1)*IF(B27="Boss",Assumptions!$B$9,1)</f>
        <v>108.7308083</v>
      </c>
      <c r="D27" s="9">
        <f>Assumptions!$B$6*(1+Assumptions!$B$7)^(A27-1)*IF(B27="Boss",1.5,1)</f>
        <v>10.81061225</v>
      </c>
      <c r="E27" s="9">
        <f t="shared" si="1"/>
        <v>54.05306125</v>
      </c>
      <c r="F27" s="9">
        <f t="shared" si="2"/>
        <v>21.74616165</v>
      </c>
    </row>
    <row r="28" ht="15.0" customHeight="1">
      <c r="A28" s="4">
        <v>24.0</v>
      </c>
      <c r="B28" s="8" t="str">
        <f>IF(MOD(A28,Assumptions!$B$8)=0,"Boss","")</f>
        <v/>
      </c>
      <c r="C28" s="9">
        <f>Assumptions!$B$4*(1+Assumptions!$B$5)^(A28-1)*IF(B28="Boss",Assumptions!$B$9,1)</f>
        <v>117.4292729</v>
      </c>
      <c r="D28" s="9">
        <f>Assumptions!$B$6*(1+Assumptions!$B$7)^(A28-1)*IF(B28="Boss",1.5,1)</f>
        <v>11.45924898</v>
      </c>
      <c r="E28" s="9">
        <f t="shared" si="1"/>
        <v>57.29624492</v>
      </c>
      <c r="F28" s="9">
        <f t="shared" si="2"/>
        <v>23.48585458</v>
      </c>
    </row>
    <row r="29" ht="15.0" customHeight="1">
      <c r="A29" s="4">
        <v>25.0</v>
      </c>
      <c r="B29" s="8" t="str">
        <f>IF(MOD(A29,Assumptions!$B$8)=0,"Boss","")</f>
        <v/>
      </c>
      <c r="C29" s="9">
        <f>Assumptions!$B$4*(1+Assumptions!$B$5)^(A29-1)*IF(B29="Boss",Assumptions!$B$9,1)</f>
        <v>126.8236147</v>
      </c>
      <c r="D29" s="9">
        <f>Assumptions!$B$6*(1+Assumptions!$B$7)^(A29-1)*IF(B29="Boss",1.5,1)</f>
        <v>12.14680392</v>
      </c>
      <c r="E29" s="9">
        <f t="shared" si="1"/>
        <v>60.73401962</v>
      </c>
      <c r="F29" s="9">
        <f t="shared" si="2"/>
        <v>25.36472295</v>
      </c>
    </row>
    <row r="30" ht="15.0" customHeight="1">
      <c r="A30" s="4">
        <v>26.0</v>
      </c>
      <c r="B30" s="8" t="str">
        <f>IF(MOD(A30,Assumptions!$B$8)=0,"Boss","")</f>
        <v/>
      </c>
      <c r="C30" s="9">
        <f>Assumptions!$B$4*(1+Assumptions!$B$5)^(A30-1)*IF(B30="Boss",Assumptions!$B$9,1)</f>
        <v>136.9695039</v>
      </c>
      <c r="D30" s="9">
        <f>Assumptions!$B$6*(1+Assumptions!$B$7)^(A30-1)*IF(B30="Boss",1.5,1)</f>
        <v>12.87561216</v>
      </c>
      <c r="E30" s="9">
        <f t="shared" si="1"/>
        <v>64.3780608</v>
      </c>
      <c r="F30" s="9">
        <f t="shared" si="2"/>
        <v>27.39390078</v>
      </c>
    </row>
    <row r="31" ht="15.0" customHeight="1">
      <c r="A31" s="4">
        <v>27.0</v>
      </c>
      <c r="B31" s="8" t="str">
        <f>IF(MOD(A31,Assumptions!$B$8)=0,"Boss","")</f>
        <v/>
      </c>
      <c r="C31" s="9">
        <f>Assumptions!$B$4*(1+Assumptions!$B$5)^(A31-1)*IF(B31="Boss",Assumptions!$B$9,1)</f>
        <v>147.9270642</v>
      </c>
      <c r="D31" s="9">
        <f>Assumptions!$B$6*(1+Assumptions!$B$7)^(A31-1)*IF(B31="Boss",1.5,1)</f>
        <v>13.64814889</v>
      </c>
      <c r="E31" s="9">
        <f t="shared" si="1"/>
        <v>68.24074444</v>
      </c>
      <c r="F31" s="9">
        <f t="shared" si="2"/>
        <v>29.58541285</v>
      </c>
    </row>
    <row r="32" ht="15.0" customHeight="1">
      <c r="A32" s="4">
        <v>28.0</v>
      </c>
      <c r="B32" s="8" t="str">
        <f>IF(MOD(A32,Assumptions!$B$8)=0,"Boss","")</f>
        <v/>
      </c>
      <c r="C32" s="9">
        <f>Assumptions!$B$4*(1+Assumptions!$B$5)^(A32-1)*IF(B32="Boss",Assumptions!$B$9,1)</f>
        <v>159.7612294</v>
      </c>
      <c r="D32" s="9">
        <f>Assumptions!$B$6*(1+Assumptions!$B$7)^(A32-1)*IF(B32="Boss",1.5,1)</f>
        <v>14.46703782</v>
      </c>
      <c r="E32" s="9">
        <f t="shared" si="1"/>
        <v>72.33518911</v>
      </c>
      <c r="F32" s="9">
        <f t="shared" si="2"/>
        <v>31.95224588</v>
      </c>
    </row>
    <row r="33" ht="15.0" customHeight="1">
      <c r="A33" s="4">
        <v>29.0</v>
      </c>
      <c r="B33" s="8" t="str">
        <f>IF(MOD(A33,Assumptions!$B$8)=0,"Boss","")</f>
        <v/>
      </c>
      <c r="C33" s="9">
        <f>Assumptions!$B$4*(1+Assumptions!$B$5)^(A33-1)*IF(B33="Boss",Assumptions!$B$9,1)</f>
        <v>172.5421277</v>
      </c>
      <c r="D33" s="9">
        <f>Assumptions!$B$6*(1+Assumptions!$B$7)^(A33-1)*IF(B33="Boss",1.5,1)</f>
        <v>15.33506009</v>
      </c>
      <c r="E33" s="9">
        <f t="shared" si="1"/>
        <v>76.67530046</v>
      </c>
      <c r="F33" s="9">
        <f t="shared" si="2"/>
        <v>34.50842555</v>
      </c>
    </row>
    <row r="34" ht="15.0" customHeight="1">
      <c r="A34" s="4">
        <v>30.0</v>
      </c>
      <c r="B34" s="8" t="str">
        <f>IF(MOD(A34,Assumptions!$B$8)=0,"Boss","")</f>
        <v>Boss</v>
      </c>
      <c r="C34" s="9">
        <f>Assumptions!$B$4*(1+Assumptions!$B$5)^(A34-1)*IF(B34="Boss",Assumptions!$B$9,1)</f>
        <v>559.0364938</v>
      </c>
      <c r="D34" s="9">
        <f>Assumptions!$B$6*(1+Assumptions!$B$7)^(A34-1)*IF(B34="Boss",1.5,1)</f>
        <v>24.38274555</v>
      </c>
      <c r="E34" s="9">
        <f t="shared" si="1"/>
        <v>121.9137277</v>
      </c>
      <c r="F34" s="9">
        <f t="shared" si="2"/>
        <v>111.8072988</v>
      </c>
    </row>
    <row r="35" ht="15.0" customHeight="1">
      <c r="A35" s="4">
        <v>31.0</v>
      </c>
      <c r="B35" s="8" t="str">
        <f>IF(MOD(A35,Assumptions!$B$8)=0,"Boss","")</f>
        <v/>
      </c>
      <c r="C35" s="9">
        <f>Assumptions!$B$4*(1+Assumptions!$B$5)^(A35-1)*IF(B35="Boss",Assumptions!$B$9,1)</f>
        <v>201.2531378</v>
      </c>
      <c r="D35" s="9">
        <f>Assumptions!$B$6*(1+Assumptions!$B$7)^(A35-1)*IF(B35="Boss",1.5,1)</f>
        <v>17.23047352</v>
      </c>
      <c r="E35" s="9">
        <f t="shared" si="1"/>
        <v>86.15236759</v>
      </c>
      <c r="F35" s="9">
        <f t="shared" si="2"/>
        <v>40.25062756</v>
      </c>
    </row>
    <row r="36" ht="15.0" customHeight="1">
      <c r="A36" s="4">
        <v>32.0</v>
      </c>
      <c r="B36" s="8" t="str">
        <f>IF(MOD(A36,Assumptions!$B$8)=0,"Boss","")</f>
        <v/>
      </c>
      <c r="C36" s="9">
        <f>Assumptions!$B$4*(1+Assumptions!$B$5)^(A36-1)*IF(B36="Boss",Assumptions!$B$9,1)</f>
        <v>217.3533888</v>
      </c>
      <c r="D36" s="9">
        <f>Assumptions!$B$6*(1+Assumptions!$B$7)^(A36-1)*IF(B36="Boss",1.5,1)</f>
        <v>18.26430193</v>
      </c>
      <c r="E36" s="9">
        <f t="shared" si="1"/>
        <v>91.32150965</v>
      </c>
      <c r="F36" s="9">
        <f t="shared" si="2"/>
        <v>43.47067776</v>
      </c>
    </row>
    <row r="37" ht="15.0" customHeight="1">
      <c r="A37" s="4">
        <v>33.0</v>
      </c>
      <c r="B37" s="8" t="str">
        <f>IF(MOD(A37,Assumptions!$B$8)=0,"Boss","")</f>
        <v/>
      </c>
      <c r="C37" s="9">
        <f>Assumptions!$B$4*(1+Assumptions!$B$5)^(A37-1)*IF(B37="Boss",Assumptions!$B$9,1)</f>
        <v>234.7416599</v>
      </c>
      <c r="D37" s="9">
        <f>Assumptions!$B$6*(1+Assumptions!$B$7)^(A37-1)*IF(B37="Boss",1.5,1)</f>
        <v>19.36016005</v>
      </c>
      <c r="E37" s="9">
        <f t="shared" si="1"/>
        <v>96.80080023</v>
      </c>
      <c r="F37" s="9">
        <f t="shared" si="2"/>
        <v>46.94833198</v>
      </c>
    </row>
    <row r="38" ht="15.0" customHeight="1">
      <c r="A38" s="4">
        <v>34.0</v>
      </c>
      <c r="B38" s="8" t="str">
        <f>IF(MOD(A38,Assumptions!$B$8)=0,"Boss","")</f>
        <v/>
      </c>
      <c r="C38" s="9">
        <f>Assumptions!$B$4*(1+Assumptions!$B$5)^(A38-1)*IF(B38="Boss",Assumptions!$B$9,1)</f>
        <v>253.5209927</v>
      </c>
      <c r="D38" s="9">
        <f>Assumptions!$B$6*(1+Assumptions!$B$7)^(A38-1)*IF(B38="Boss",1.5,1)</f>
        <v>20.52176965</v>
      </c>
      <c r="E38" s="9">
        <f t="shared" si="1"/>
        <v>102.6088482</v>
      </c>
      <c r="F38" s="9">
        <f t="shared" si="2"/>
        <v>50.70419854</v>
      </c>
    </row>
    <row r="39" ht="15.0" customHeight="1">
      <c r="A39" s="4">
        <v>35.0</v>
      </c>
      <c r="B39" s="8" t="str">
        <f>IF(MOD(A39,Assumptions!$B$8)=0,"Boss","")</f>
        <v/>
      </c>
      <c r="C39" s="9">
        <f>Assumptions!$B$4*(1+Assumptions!$B$5)^(A39-1)*IF(B39="Boss",Assumptions!$B$9,1)</f>
        <v>273.8026721</v>
      </c>
      <c r="D39" s="9">
        <f>Assumptions!$B$6*(1+Assumptions!$B$7)^(A39-1)*IF(B39="Boss",1.5,1)</f>
        <v>21.75307583</v>
      </c>
      <c r="E39" s="9">
        <f t="shared" si="1"/>
        <v>108.7653791</v>
      </c>
      <c r="F39" s="9">
        <f t="shared" si="2"/>
        <v>54.76053442</v>
      </c>
    </row>
    <row r="40" ht="15.0" customHeight="1">
      <c r="A40" s="4">
        <v>36.0</v>
      </c>
      <c r="B40" s="8" t="str">
        <f>IF(MOD(A40,Assumptions!$B$8)=0,"Boss","")</f>
        <v/>
      </c>
      <c r="C40" s="9">
        <f>Assumptions!$B$4*(1+Assumptions!$B$5)^(A40-1)*IF(B40="Boss",Assumptions!$B$9,1)</f>
        <v>295.7068859</v>
      </c>
      <c r="D40" s="9">
        <f>Assumptions!$B$6*(1+Assumptions!$B$7)^(A40-1)*IF(B40="Boss",1.5,1)</f>
        <v>23.05826038</v>
      </c>
      <c r="E40" s="9">
        <f t="shared" si="1"/>
        <v>115.2913019</v>
      </c>
      <c r="F40" s="9">
        <f t="shared" si="2"/>
        <v>59.14137718</v>
      </c>
    </row>
    <row r="41" ht="15.0" customHeight="1">
      <c r="A41" s="4">
        <v>37.0</v>
      </c>
      <c r="B41" s="8" t="str">
        <f>IF(MOD(A41,Assumptions!$B$8)=0,"Boss","")</f>
        <v/>
      </c>
      <c r="C41" s="9">
        <f>Assumptions!$B$4*(1+Assumptions!$B$5)^(A41-1)*IF(B41="Boss",Assumptions!$B$9,1)</f>
        <v>319.3634368</v>
      </c>
      <c r="D41" s="9">
        <f>Assumptions!$B$6*(1+Assumptions!$B$7)^(A41-1)*IF(B41="Boss",1.5,1)</f>
        <v>24.441756</v>
      </c>
      <c r="E41" s="9">
        <f t="shared" si="1"/>
        <v>122.20878</v>
      </c>
      <c r="F41" s="9">
        <f t="shared" si="2"/>
        <v>63.87268735</v>
      </c>
    </row>
    <row r="42" ht="15.0" customHeight="1">
      <c r="A42" s="4">
        <v>38.0</v>
      </c>
      <c r="B42" s="8" t="str">
        <f>IF(MOD(A42,Assumptions!$B$8)=0,"Boss","")</f>
        <v/>
      </c>
      <c r="C42" s="9">
        <f>Assumptions!$B$4*(1+Assumptions!$B$5)^(A42-1)*IF(B42="Boss",Assumptions!$B$9,1)</f>
        <v>344.9125117</v>
      </c>
      <c r="D42" s="9">
        <f>Assumptions!$B$6*(1+Assumptions!$B$7)^(A42-1)*IF(B42="Boss",1.5,1)</f>
        <v>25.90826136</v>
      </c>
      <c r="E42" s="9">
        <f t="shared" si="1"/>
        <v>129.5413068</v>
      </c>
      <c r="F42" s="9">
        <f t="shared" si="2"/>
        <v>68.98250234</v>
      </c>
    </row>
    <row r="43" ht="15.0" customHeight="1">
      <c r="A43" s="4">
        <v>39.0</v>
      </c>
      <c r="B43" s="8" t="str">
        <f>IF(MOD(A43,Assumptions!$B$8)=0,"Boss","")</f>
        <v/>
      </c>
      <c r="C43" s="9">
        <f>Assumptions!$B$4*(1+Assumptions!$B$5)^(A43-1)*IF(B43="Boss",Assumptions!$B$9,1)</f>
        <v>372.5055126</v>
      </c>
      <c r="D43" s="9">
        <f>Assumptions!$B$6*(1+Assumptions!$B$7)^(A43-1)*IF(B43="Boss",1.5,1)</f>
        <v>27.46275704</v>
      </c>
      <c r="E43" s="9">
        <f t="shared" si="1"/>
        <v>137.3137852</v>
      </c>
      <c r="F43" s="9">
        <f t="shared" si="2"/>
        <v>74.50110253</v>
      </c>
    </row>
    <row r="44" ht="15.0" customHeight="1">
      <c r="A44" s="4">
        <v>40.0</v>
      </c>
      <c r="B44" s="8" t="str">
        <f>IF(MOD(A44,Assumptions!$B$8)=0,"Boss","")</f>
        <v>Boss</v>
      </c>
      <c r="C44" s="9">
        <f>Assumptions!$B$4*(1+Assumptions!$B$5)^(A44-1)*IF(B44="Boss",Assumptions!$B$9,1)</f>
        <v>1206.917861</v>
      </c>
      <c r="D44" s="9">
        <f>Assumptions!$B$6*(1+Assumptions!$B$7)^(A44-1)*IF(B44="Boss",1.5,1)</f>
        <v>43.6657837</v>
      </c>
      <c r="E44" s="9">
        <f t="shared" si="1"/>
        <v>218.3289185</v>
      </c>
      <c r="F44" s="9">
        <f t="shared" si="2"/>
        <v>241.3835722</v>
      </c>
    </row>
    <row r="45" ht="15.0" customHeight="1">
      <c r="A45" s="4">
        <v>41.0</v>
      </c>
      <c r="B45" s="8" t="str">
        <f>IF(MOD(A45,Assumptions!$B$8)=0,"Boss","")</f>
        <v/>
      </c>
      <c r="C45" s="9">
        <f>Assumptions!$B$4*(1+Assumptions!$B$5)^(A45-1)*IF(B45="Boss",Assumptions!$B$9,1)</f>
        <v>434.4904299</v>
      </c>
      <c r="D45" s="9">
        <f>Assumptions!$B$6*(1+Assumptions!$B$7)^(A45-1)*IF(B45="Boss",1.5,1)</f>
        <v>30.85715381</v>
      </c>
      <c r="E45" s="9">
        <f t="shared" si="1"/>
        <v>154.2857691</v>
      </c>
      <c r="F45" s="9">
        <f t="shared" si="2"/>
        <v>86.89808599</v>
      </c>
    </row>
    <row r="46" ht="15.0" customHeight="1">
      <c r="A46" s="4">
        <v>42.0</v>
      </c>
      <c r="B46" s="8" t="str">
        <f>IF(MOD(A46,Assumptions!$B$8)=0,"Boss","")</f>
        <v/>
      </c>
      <c r="C46" s="9">
        <f>Assumptions!$B$4*(1+Assumptions!$B$5)^(A46-1)*IF(B46="Boss",Assumptions!$B$9,1)</f>
        <v>469.2496643</v>
      </c>
      <c r="D46" s="9">
        <f>Assumptions!$B$6*(1+Assumptions!$B$7)^(A46-1)*IF(B46="Boss",1.5,1)</f>
        <v>32.70858304</v>
      </c>
      <c r="E46" s="9">
        <f t="shared" si="1"/>
        <v>163.5429152</v>
      </c>
      <c r="F46" s="9">
        <f t="shared" si="2"/>
        <v>93.84993287</v>
      </c>
    </row>
    <row r="47" ht="15.0" customHeight="1">
      <c r="A47" s="4">
        <v>43.0</v>
      </c>
      <c r="B47" s="8" t="str">
        <f>IF(MOD(A47,Assumptions!$B$8)=0,"Boss","")</f>
        <v/>
      </c>
      <c r="C47" s="9">
        <f>Assumptions!$B$4*(1+Assumptions!$B$5)^(A47-1)*IF(B47="Boss",Assumptions!$B$9,1)</f>
        <v>506.7896375</v>
      </c>
      <c r="D47" s="9">
        <f>Assumptions!$B$6*(1+Assumptions!$B$7)^(A47-1)*IF(B47="Boss",1.5,1)</f>
        <v>34.67109802</v>
      </c>
      <c r="E47" s="9">
        <f t="shared" si="1"/>
        <v>173.3554901</v>
      </c>
      <c r="F47" s="9">
        <f t="shared" si="2"/>
        <v>101.3579275</v>
      </c>
    </row>
    <row r="48" ht="15.0" customHeight="1">
      <c r="A48" s="4">
        <v>44.0</v>
      </c>
      <c r="B48" s="8" t="str">
        <f>IF(MOD(A48,Assumptions!$B$8)=0,"Boss","")</f>
        <v/>
      </c>
      <c r="C48" s="9">
        <f>Assumptions!$B$4*(1+Assumptions!$B$5)^(A48-1)*IF(B48="Boss",Assumptions!$B$9,1)</f>
        <v>547.3328085</v>
      </c>
      <c r="D48" s="9">
        <f>Assumptions!$B$6*(1+Assumptions!$B$7)^(A48-1)*IF(B48="Boss",1.5,1)</f>
        <v>36.7513639</v>
      </c>
      <c r="E48" s="9">
        <f t="shared" si="1"/>
        <v>183.7568195</v>
      </c>
      <c r="F48" s="9">
        <f t="shared" si="2"/>
        <v>109.4665617</v>
      </c>
    </row>
    <row r="49" ht="15.0" customHeight="1">
      <c r="A49" s="4">
        <v>45.0</v>
      </c>
      <c r="B49" s="8" t="str">
        <f>IF(MOD(A49,Assumptions!$B$8)=0,"Boss","")</f>
        <v/>
      </c>
      <c r="C49" s="9">
        <f>Assumptions!$B$4*(1+Assumptions!$B$5)^(A49-1)*IF(B49="Boss",Assumptions!$B$9,1)</f>
        <v>591.1194332</v>
      </c>
      <c r="D49" s="9">
        <f>Assumptions!$B$6*(1+Assumptions!$B$7)^(A49-1)*IF(B49="Boss",1.5,1)</f>
        <v>38.95644574</v>
      </c>
      <c r="E49" s="9">
        <f t="shared" si="1"/>
        <v>194.7822287</v>
      </c>
      <c r="F49" s="9">
        <f t="shared" si="2"/>
        <v>118.2238866</v>
      </c>
    </row>
    <row r="50" ht="15.0" customHeight="1">
      <c r="A50" s="4">
        <v>46.0</v>
      </c>
      <c r="B50" s="8" t="str">
        <f>IF(MOD(A50,Assumptions!$B$8)=0,"Boss","")</f>
        <v/>
      </c>
      <c r="C50" s="9">
        <f>Assumptions!$B$4*(1+Assumptions!$B$5)^(A50-1)*IF(B50="Boss",Assumptions!$B$9,1)</f>
        <v>638.4089878</v>
      </c>
      <c r="D50" s="9">
        <f>Assumptions!$B$6*(1+Assumptions!$B$7)^(A50-1)*IF(B50="Boss",1.5,1)</f>
        <v>41.29383248</v>
      </c>
      <c r="E50" s="9">
        <f t="shared" si="1"/>
        <v>206.4691624</v>
      </c>
      <c r="F50" s="9">
        <f t="shared" si="2"/>
        <v>127.6817976</v>
      </c>
    </row>
    <row r="51" ht="15.0" customHeight="1">
      <c r="A51" s="4">
        <v>47.0</v>
      </c>
      <c r="B51" s="8" t="str">
        <f>IF(MOD(A51,Assumptions!$B$8)=0,"Boss","")</f>
        <v/>
      </c>
      <c r="C51" s="9">
        <f>Assumptions!$B$4*(1+Assumptions!$B$5)^(A51-1)*IF(B51="Boss",Assumptions!$B$9,1)</f>
        <v>689.4817068</v>
      </c>
      <c r="D51" s="9">
        <f>Assumptions!$B$6*(1+Assumptions!$B$7)^(A51-1)*IF(B51="Boss",1.5,1)</f>
        <v>43.77146243</v>
      </c>
      <c r="E51" s="9">
        <f t="shared" si="1"/>
        <v>218.8573122</v>
      </c>
      <c r="F51" s="9">
        <f t="shared" si="2"/>
        <v>137.8963414</v>
      </c>
    </row>
    <row r="52" ht="15.0" customHeight="1">
      <c r="A52" s="4">
        <v>48.0</v>
      </c>
      <c r="B52" s="8" t="str">
        <f>IF(MOD(A52,Assumptions!$B$8)=0,"Boss","")</f>
        <v/>
      </c>
      <c r="C52" s="9">
        <f>Assumptions!$B$4*(1+Assumptions!$B$5)^(A52-1)*IF(B52="Boss",Assumptions!$B$9,1)</f>
        <v>744.6402434</v>
      </c>
      <c r="D52" s="9">
        <f>Assumptions!$B$6*(1+Assumptions!$B$7)^(A52-1)*IF(B52="Boss",1.5,1)</f>
        <v>46.39775018</v>
      </c>
      <c r="E52" s="9">
        <f t="shared" si="1"/>
        <v>231.9887509</v>
      </c>
      <c r="F52" s="9">
        <f t="shared" si="2"/>
        <v>148.9280487</v>
      </c>
    </row>
    <row r="53" ht="15.0" customHeight="1">
      <c r="A53" s="4">
        <v>49.0</v>
      </c>
      <c r="B53" s="8" t="str">
        <f>IF(MOD(A53,Assumptions!$B$8)=0,"Boss","")</f>
        <v/>
      </c>
      <c r="C53" s="9">
        <f>Assumptions!$B$4*(1+Assumptions!$B$5)^(A53-1)*IF(B53="Boss",Assumptions!$B$9,1)</f>
        <v>804.2114628</v>
      </c>
      <c r="D53" s="9">
        <f>Assumptions!$B$6*(1+Assumptions!$B$7)^(A53-1)*IF(B53="Boss",1.5,1)</f>
        <v>49.18161519</v>
      </c>
      <c r="E53" s="9">
        <f t="shared" si="1"/>
        <v>245.9080759</v>
      </c>
      <c r="F53" s="9">
        <f t="shared" si="2"/>
        <v>160.8422926</v>
      </c>
    </row>
    <row r="54" ht="15.0" customHeight="1">
      <c r="A54" s="4">
        <v>50.0</v>
      </c>
      <c r="B54" s="8" t="str">
        <f>IF(MOD(A54,Assumptions!$B$8)=0,"Boss","")</f>
        <v>Boss</v>
      </c>
      <c r="C54" s="9">
        <f>Assumptions!$B$4*(1+Assumptions!$B$5)^(A54-1)*IF(B54="Boss",Assumptions!$B$9,1)</f>
        <v>2605.64514</v>
      </c>
      <c r="D54" s="9">
        <f>Assumptions!$B$6*(1+Assumptions!$B$7)^(A54-1)*IF(B54="Boss",1.5,1)</f>
        <v>78.19876815</v>
      </c>
      <c r="E54" s="9">
        <f t="shared" si="1"/>
        <v>390.9938407</v>
      </c>
      <c r="F54" s="9">
        <f t="shared" si="2"/>
        <v>521.1290279</v>
      </c>
    </row>
    <row r="55" ht="15.0" customHeight="1">
      <c r="A55" s="4">
        <v>51.0</v>
      </c>
      <c r="B55" s="8" t="str">
        <f>IF(MOD(A55,Assumptions!$B$8)=0,"Boss","")</f>
        <v/>
      </c>
      <c r="C55" s="9">
        <f>Assumptions!$B$4*(1+Assumptions!$B$5)^(A55-1)*IF(B55="Boss",Assumptions!$B$9,1)</f>
        <v>938.0322503</v>
      </c>
      <c r="D55" s="9">
        <f>Assumptions!$B$6*(1+Assumptions!$B$7)^(A55-1)*IF(B55="Boss",1.5,1)</f>
        <v>55.26046282</v>
      </c>
      <c r="E55" s="9">
        <f t="shared" si="1"/>
        <v>276.3023141</v>
      </c>
      <c r="F55" s="9">
        <f t="shared" si="2"/>
        <v>187.6064501</v>
      </c>
    </row>
    <row r="56" ht="15.0" customHeight="1">
      <c r="A56" s="4">
        <v>52.0</v>
      </c>
      <c r="B56" s="8" t="str">
        <f>IF(MOD(A56,Assumptions!$B$8)=0,"Boss","")</f>
        <v/>
      </c>
      <c r="C56" s="9">
        <f>Assumptions!$B$4*(1+Assumptions!$B$5)^(A56-1)*IF(B56="Boss",Assumptions!$B$9,1)</f>
        <v>1013.07483</v>
      </c>
      <c r="D56" s="9">
        <f>Assumptions!$B$6*(1+Assumptions!$B$7)^(A56-1)*IF(B56="Boss",1.5,1)</f>
        <v>58.57609059</v>
      </c>
      <c r="E56" s="9">
        <f t="shared" si="1"/>
        <v>292.880453</v>
      </c>
      <c r="F56" s="9">
        <f t="shared" si="2"/>
        <v>202.6149661</v>
      </c>
    </row>
    <row r="57" ht="15.0" customHeight="1">
      <c r="A57" s="4">
        <v>53.0</v>
      </c>
      <c r="B57" s="8" t="str">
        <f>IF(MOD(A57,Assumptions!$B$8)=0,"Boss","")</f>
        <v/>
      </c>
      <c r="C57" s="9">
        <f>Assumptions!$B$4*(1+Assumptions!$B$5)^(A57-1)*IF(B57="Boss",Assumptions!$B$9,1)</f>
        <v>1094.120817</v>
      </c>
      <c r="D57" s="9">
        <f>Assumptions!$B$6*(1+Assumptions!$B$7)^(A57-1)*IF(B57="Boss",1.5,1)</f>
        <v>62.09065603</v>
      </c>
      <c r="E57" s="9">
        <f t="shared" si="1"/>
        <v>310.4532802</v>
      </c>
      <c r="F57" s="9">
        <f t="shared" si="2"/>
        <v>218.8241633</v>
      </c>
    </row>
    <row r="58" ht="15.0" customHeight="1">
      <c r="A58" s="4">
        <v>54.0</v>
      </c>
      <c r="B58" s="8" t="str">
        <f>IF(MOD(A58,Assumptions!$B$8)=0,"Boss","")</f>
        <v/>
      </c>
      <c r="C58" s="9">
        <f>Assumptions!$B$4*(1+Assumptions!$B$5)^(A58-1)*IF(B58="Boss",Assumptions!$B$9,1)</f>
        <v>1181.650482</v>
      </c>
      <c r="D58" s="9">
        <f>Assumptions!$B$6*(1+Assumptions!$B$7)^(A58-1)*IF(B58="Boss",1.5,1)</f>
        <v>65.81609539</v>
      </c>
      <c r="E58" s="9">
        <f t="shared" si="1"/>
        <v>329.080477</v>
      </c>
      <c r="F58" s="9">
        <f t="shared" si="2"/>
        <v>236.3300964</v>
      </c>
    </row>
    <row r="59" ht="15.0" customHeight="1">
      <c r="A59" s="4">
        <v>55.0</v>
      </c>
      <c r="B59" s="8" t="str">
        <f>IF(MOD(A59,Assumptions!$B$8)=0,"Boss","")</f>
        <v/>
      </c>
      <c r="C59" s="9">
        <f>Assumptions!$B$4*(1+Assumptions!$B$5)^(A59-1)*IF(B59="Boss",Assumptions!$B$9,1)</f>
        <v>1276.182521</v>
      </c>
      <c r="D59" s="9">
        <f>Assumptions!$B$6*(1+Assumptions!$B$7)^(A59-1)*IF(B59="Boss",1.5,1)</f>
        <v>69.76506112</v>
      </c>
      <c r="E59" s="9">
        <f t="shared" si="1"/>
        <v>348.8253056</v>
      </c>
      <c r="F59" s="9">
        <f t="shared" si="2"/>
        <v>255.2365041</v>
      </c>
    </row>
    <row r="60" ht="15.0" customHeight="1">
      <c r="A60" s="4">
        <v>56.0</v>
      </c>
      <c r="B60" s="8" t="str">
        <f>IF(MOD(A60,Assumptions!$B$8)=0,"Boss","")</f>
        <v/>
      </c>
      <c r="C60" s="9">
        <f>Assumptions!$B$4*(1+Assumptions!$B$5)^(A60-1)*IF(B60="Boss",Assumptions!$B$9,1)</f>
        <v>1378.277122</v>
      </c>
      <c r="D60" s="9">
        <f>Assumptions!$B$6*(1+Assumptions!$B$7)^(A60-1)*IF(B60="Boss",1.5,1)</f>
        <v>73.95096478</v>
      </c>
      <c r="E60" s="9">
        <f t="shared" si="1"/>
        <v>369.7548239</v>
      </c>
      <c r="F60" s="9">
        <f t="shared" si="2"/>
        <v>275.6554245</v>
      </c>
    </row>
    <row r="61" ht="15.0" customHeight="1">
      <c r="A61" s="4">
        <v>57.0</v>
      </c>
      <c r="B61" s="8" t="str">
        <f>IF(MOD(A61,Assumptions!$B$8)=0,"Boss","")</f>
        <v/>
      </c>
      <c r="C61" s="9">
        <f>Assumptions!$B$4*(1+Assumptions!$B$5)^(A61-1)*IF(B61="Boss",Assumptions!$B$9,1)</f>
        <v>1488.539292</v>
      </c>
      <c r="D61" s="9">
        <f>Assumptions!$B$6*(1+Assumptions!$B$7)^(A61-1)*IF(B61="Boss",1.5,1)</f>
        <v>78.38802267</v>
      </c>
      <c r="E61" s="9">
        <f t="shared" si="1"/>
        <v>391.9401133</v>
      </c>
      <c r="F61" s="9">
        <f t="shared" si="2"/>
        <v>297.7078584</v>
      </c>
    </row>
    <row r="62" ht="15.0" customHeight="1">
      <c r="A62" s="4">
        <v>58.0</v>
      </c>
      <c r="B62" s="8" t="str">
        <f>IF(MOD(A62,Assumptions!$B$8)=0,"Boss","")</f>
        <v/>
      </c>
      <c r="C62" s="9">
        <f>Assumptions!$B$4*(1+Assumptions!$B$5)^(A62-1)*IF(B62="Boss",Assumptions!$B$9,1)</f>
        <v>1607.622435</v>
      </c>
      <c r="D62" s="9">
        <f>Assumptions!$B$6*(1+Assumptions!$B$7)^(A62-1)*IF(B62="Boss",1.5,1)</f>
        <v>83.09130403</v>
      </c>
      <c r="E62" s="9">
        <f t="shared" si="1"/>
        <v>415.4565201</v>
      </c>
      <c r="F62" s="9">
        <f t="shared" si="2"/>
        <v>321.5244871</v>
      </c>
    </row>
    <row r="63" ht="15.0" customHeight="1">
      <c r="A63" s="4">
        <v>59.0</v>
      </c>
      <c r="B63" s="8" t="str">
        <f>IF(MOD(A63,Assumptions!$B$8)=0,"Boss","")</f>
        <v/>
      </c>
      <c r="C63" s="9">
        <f>Assumptions!$B$4*(1+Assumptions!$B$5)^(A63-1)*IF(B63="Boss",Assumptions!$B$9,1)</f>
        <v>1736.23223</v>
      </c>
      <c r="D63" s="9">
        <f>Assumptions!$B$6*(1+Assumptions!$B$7)^(A63-1)*IF(B63="Boss",1.5,1)</f>
        <v>88.07678227</v>
      </c>
      <c r="E63" s="9">
        <f t="shared" si="1"/>
        <v>440.3839114</v>
      </c>
      <c r="F63" s="9">
        <f t="shared" si="2"/>
        <v>347.246446</v>
      </c>
    </row>
    <row r="64" ht="15.0" customHeight="1">
      <c r="A64" s="4">
        <v>60.0</v>
      </c>
      <c r="B64" s="8" t="str">
        <f>IF(MOD(A64,Assumptions!$B$8)=0,"Boss","")</f>
        <v>Boss</v>
      </c>
      <c r="C64" s="9">
        <f>Assumptions!$B$4*(1+Assumptions!$B$5)^(A64-1)*IF(B64="Boss",Assumptions!$B$9,1)</f>
        <v>5625.392426</v>
      </c>
      <c r="D64" s="9">
        <f>Assumptions!$B$6*(1+Assumptions!$B$7)^(A64-1)*IF(B64="Boss",1.5,1)</f>
        <v>140.0420838</v>
      </c>
      <c r="E64" s="9">
        <f t="shared" si="1"/>
        <v>700.2104191</v>
      </c>
      <c r="F64" s="9">
        <f t="shared" si="2"/>
        <v>1125.078485</v>
      </c>
    </row>
    <row r="65" ht="15.0" customHeight="1">
      <c r="A65" s="4">
        <v>61.0</v>
      </c>
      <c r="B65" s="8" t="str">
        <f>IF(MOD(A65,Assumptions!$B$8)=0,"Boss","")</f>
        <v/>
      </c>
      <c r="C65" s="9">
        <f>Assumptions!$B$4*(1+Assumptions!$B$5)^(A65-1)*IF(B65="Boss",Assumptions!$B$9,1)</f>
        <v>2025.141273</v>
      </c>
      <c r="D65" s="9">
        <f>Assumptions!$B$6*(1+Assumptions!$B$7)^(A65-1)*IF(B65="Boss",1.5,1)</f>
        <v>98.96307256</v>
      </c>
      <c r="E65" s="9">
        <f t="shared" si="1"/>
        <v>494.8153628</v>
      </c>
      <c r="F65" s="9">
        <f t="shared" si="2"/>
        <v>405.0282547</v>
      </c>
    </row>
    <row r="66" ht="15.0" customHeight="1">
      <c r="A66" s="4">
        <v>62.0</v>
      </c>
      <c r="B66" s="8" t="str">
        <f>IF(MOD(A66,Assumptions!$B$8)=0,"Boss","")</f>
        <v/>
      </c>
      <c r="C66" s="9">
        <f>Assumptions!$B$4*(1+Assumptions!$B$5)^(A66-1)*IF(B66="Boss",Assumptions!$B$9,1)</f>
        <v>2187.152575</v>
      </c>
      <c r="D66" s="9">
        <f>Assumptions!$B$6*(1+Assumptions!$B$7)^(A66-1)*IF(B66="Boss",1.5,1)</f>
        <v>104.9008569</v>
      </c>
      <c r="E66" s="9">
        <f t="shared" si="1"/>
        <v>524.5042846</v>
      </c>
      <c r="F66" s="9">
        <f t="shared" si="2"/>
        <v>437.430515</v>
      </c>
    </row>
    <row r="67" ht="15.0" customHeight="1">
      <c r="A67" s="4">
        <v>63.0</v>
      </c>
      <c r="B67" s="8" t="str">
        <f>IF(MOD(A67,Assumptions!$B$8)=0,"Boss","")</f>
        <v/>
      </c>
      <c r="C67" s="9">
        <f>Assumptions!$B$4*(1+Assumptions!$B$5)^(A67-1)*IF(B67="Boss",Assumptions!$B$9,1)</f>
        <v>2362.124781</v>
      </c>
      <c r="D67" s="9">
        <f>Assumptions!$B$6*(1+Assumptions!$B$7)^(A67-1)*IF(B67="Boss",1.5,1)</f>
        <v>111.1949083</v>
      </c>
      <c r="E67" s="9">
        <f t="shared" si="1"/>
        <v>555.9745416</v>
      </c>
      <c r="F67" s="9">
        <f t="shared" si="2"/>
        <v>472.4249562</v>
      </c>
    </row>
    <row r="68" ht="15.0" customHeight="1">
      <c r="A68" s="4">
        <v>64.0</v>
      </c>
      <c r="B68" s="8" t="str">
        <f>IF(MOD(A68,Assumptions!$B$8)=0,"Boss","")</f>
        <v/>
      </c>
      <c r="C68" s="9">
        <f>Assumptions!$B$4*(1+Assumptions!$B$5)^(A68-1)*IF(B68="Boss",Assumptions!$B$9,1)</f>
        <v>2551.094764</v>
      </c>
      <c r="D68" s="9">
        <f>Assumptions!$B$6*(1+Assumptions!$B$7)^(A68-1)*IF(B68="Boss",1.5,1)</f>
        <v>117.8666028</v>
      </c>
      <c r="E68" s="9">
        <f t="shared" si="1"/>
        <v>589.3330141</v>
      </c>
      <c r="F68" s="9">
        <f t="shared" si="2"/>
        <v>510.2189527</v>
      </c>
    </row>
    <row r="69" ht="15.0" customHeight="1">
      <c r="A69" s="4">
        <v>65.0</v>
      </c>
      <c r="B69" s="8" t="str">
        <f>IF(MOD(A69,Assumptions!$B$8)=0,"Boss","")</f>
        <v/>
      </c>
      <c r="C69" s="9">
        <f>Assumptions!$B$4*(1+Assumptions!$B$5)^(A69-1)*IF(B69="Boss",Assumptions!$B$9,1)</f>
        <v>2755.182345</v>
      </c>
      <c r="D69" s="9">
        <f>Assumptions!$B$6*(1+Assumptions!$B$7)^(A69-1)*IF(B69="Boss",1.5,1)</f>
        <v>124.938599</v>
      </c>
      <c r="E69" s="9">
        <f t="shared" si="1"/>
        <v>624.692995</v>
      </c>
      <c r="F69" s="9">
        <f t="shared" si="2"/>
        <v>551.036469</v>
      </c>
    </row>
    <row r="70" ht="15.0" customHeight="1">
      <c r="A70" s="4">
        <v>66.0</v>
      </c>
      <c r="B70" s="8" t="str">
        <f>IF(MOD(A70,Assumptions!$B$8)=0,"Boss","")</f>
        <v/>
      </c>
      <c r="C70" s="9">
        <f>Assumptions!$B$4*(1+Assumptions!$B$5)^(A70-1)*IF(B70="Boss",Assumptions!$B$9,1)</f>
        <v>2975.596932</v>
      </c>
      <c r="D70" s="9">
        <f>Assumptions!$B$6*(1+Assumptions!$B$7)^(A70-1)*IF(B70="Boss",1.5,1)</f>
        <v>132.4349149</v>
      </c>
      <c r="E70" s="9">
        <f t="shared" si="1"/>
        <v>662.1745747</v>
      </c>
      <c r="F70" s="9">
        <f t="shared" si="2"/>
        <v>595.1193865</v>
      </c>
    </row>
    <row r="71" ht="15.0" customHeight="1">
      <c r="A71" s="4">
        <v>67.0</v>
      </c>
      <c r="B71" s="8" t="str">
        <f>IF(MOD(A71,Assumptions!$B$8)=0,"Boss","")</f>
        <v/>
      </c>
      <c r="C71" s="9">
        <f>Assumptions!$B$4*(1+Assumptions!$B$5)^(A71-1)*IF(B71="Boss",Assumptions!$B$9,1)</f>
        <v>3213.644687</v>
      </c>
      <c r="D71" s="9">
        <f>Assumptions!$B$6*(1+Assumptions!$B$7)^(A71-1)*IF(B71="Boss",1.5,1)</f>
        <v>140.3810098</v>
      </c>
      <c r="E71" s="9">
        <f t="shared" si="1"/>
        <v>701.9050492</v>
      </c>
      <c r="F71" s="9">
        <f t="shared" si="2"/>
        <v>642.7289374</v>
      </c>
    </row>
    <row r="72" ht="15.0" customHeight="1">
      <c r="A72" s="4">
        <v>68.0</v>
      </c>
      <c r="B72" s="8" t="str">
        <f>IF(MOD(A72,Assumptions!$B$8)=0,"Boss","")</f>
        <v/>
      </c>
      <c r="C72" s="9">
        <f>Assumptions!$B$4*(1+Assumptions!$B$5)^(A72-1)*IF(B72="Boss",Assumptions!$B$9,1)</f>
        <v>3470.736262</v>
      </c>
      <c r="D72" s="9">
        <f>Assumptions!$B$6*(1+Assumptions!$B$7)^(A72-1)*IF(B72="Boss",1.5,1)</f>
        <v>148.8038704</v>
      </c>
      <c r="E72" s="9">
        <f t="shared" si="1"/>
        <v>744.0193521</v>
      </c>
      <c r="F72" s="9">
        <f t="shared" si="2"/>
        <v>694.1472524</v>
      </c>
    </row>
    <row r="73" ht="15.0" customHeight="1">
      <c r="A73" s="4">
        <v>69.0</v>
      </c>
      <c r="B73" s="8" t="str">
        <f>IF(MOD(A73,Assumptions!$B$8)=0,"Boss","")</f>
        <v/>
      </c>
      <c r="C73" s="9">
        <f>Assumptions!$B$4*(1+Assumptions!$B$5)^(A73-1)*IF(B73="Boss",Assumptions!$B$9,1)</f>
        <v>3748.395163</v>
      </c>
      <c r="D73" s="9">
        <f>Assumptions!$B$6*(1+Assumptions!$B$7)^(A73-1)*IF(B73="Boss",1.5,1)</f>
        <v>157.7321026</v>
      </c>
      <c r="E73" s="9">
        <f t="shared" si="1"/>
        <v>788.6605132</v>
      </c>
      <c r="F73" s="9">
        <f t="shared" si="2"/>
        <v>749.6790326</v>
      </c>
    </row>
    <row r="74" ht="15.0" customHeight="1">
      <c r="A74" s="4">
        <v>70.0</v>
      </c>
      <c r="B74" s="8" t="str">
        <f>IF(MOD(A74,Assumptions!$B$8)=0,"Boss","")</f>
        <v>Boss</v>
      </c>
      <c r="C74" s="9">
        <f>Assumptions!$B$4*(1+Assumptions!$B$5)^(A74-1)*IF(B74="Boss",Assumptions!$B$9,1)</f>
        <v>12144.80033</v>
      </c>
      <c r="D74" s="9">
        <f>Assumptions!$B$6*(1+Assumptions!$B$7)^(A74-1)*IF(B74="Boss",1.5,1)</f>
        <v>250.7940432</v>
      </c>
      <c r="E74" s="9">
        <f t="shared" si="1"/>
        <v>1253.970216</v>
      </c>
      <c r="F74" s="9">
        <f t="shared" si="2"/>
        <v>2428.960066</v>
      </c>
    </row>
    <row r="75" ht="15.0" customHeight="1">
      <c r="A75" s="4">
        <v>71.0</v>
      </c>
      <c r="B75" s="8" t="str">
        <f>IF(MOD(A75,Assumptions!$B$8)=0,"Boss","")</f>
        <v/>
      </c>
      <c r="C75" s="9">
        <f>Assumptions!$B$4*(1+Assumptions!$B$5)^(A75-1)*IF(B75="Boss",Assumptions!$B$9,1)</f>
        <v>4372.128118</v>
      </c>
      <c r="D75" s="9">
        <f>Assumptions!$B$6*(1+Assumptions!$B$7)^(A75-1)*IF(B75="Boss",1.5,1)</f>
        <v>177.2277905</v>
      </c>
      <c r="E75" s="9">
        <f t="shared" si="1"/>
        <v>886.1389527</v>
      </c>
      <c r="F75" s="9">
        <f t="shared" si="2"/>
        <v>874.4256236</v>
      </c>
    </row>
    <row r="76" ht="15.0" customHeight="1">
      <c r="A76" s="4">
        <v>72.0</v>
      </c>
      <c r="B76" s="8" t="str">
        <f>IF(MOD(A76,Assumptions!$B$8)=0,"Boss","")</f>
        <v/>
      </c>
      <c r="C76" s="9">
        <f>Assumptions!$B$4*(1+Assumptions!$B$5)^(A76-1)*IF(B76="Boss",Assumptions!$B$9,1)</f>
        <v>4721.898367</v>
      </c>
      <c r="D76" s="9">
        <f>Assumptions!$B$6*(1+Assumptions!$B$7)^(A76-1)*IF(B76="Boss",1.5,1)</f>
        <v>187.861458</v>
      </c>
      <c r="E76" s="9">
        <f t="shared" si="1"/>
        <v>939.3072898</v>
      </c>
      <c r="F76" s="9">
        <f t="shared" si="2"/>
        <v>944.3796735</v>
      </c>
    </row>
    <row r="77" ht="15.0" customHeight="1">
      <c r="A77" s="4">
        <v>73.0</v>
      </c>
      <c r="B77" s="8" t="str">
        <f>IF(MOD(A77,Assumptions!$B$8)=0,"Boss","")</f>
        <v/>
      </c>
      <c r="C77" s="9">
        <f>Assumptions!$B$4*(1+Assumptions!$B$5)^(A77-1)*IF(B77="Boss",Assumptions!$B$9,1)</f>
        <v>5099.650237</v>
      </c>
      <c r="D77" s="9">
        <f>Assumptions!$B$6*(1+Assumptions!$B$7)^(A77-1)*IF(B77="Boss",1.5,1)</f>
        <v>199.1331454</v>
      </c>
      <c r="E77" s="9">
        <f t="shared" si="1"/>
        <v>995.6657272</v>
      </c>
      <c r="F77" s="9">
        <f t="shared" si="2"/>
        <v>1019.930047</v>
      </c>
    </row>
    <row r="78" ht="15.0" customHeight="1">
      <c r="A78" s="4">
        <v>74.0</v>
      </c>
      <c r="B78" s="8" t="str">
        <f>IF(MOD(A78,Assumptions!$B$8)=0,"Boss","")</f>
        <v/>
      </c>
      <c r="C78" s="9">
        <f>Assumptions!$B$4*(1+Assumptions!$B$5)^(A78-1)*IF(B78="Boss",Assumptions!$B$9,1)</f>
        <v>5507.622256</v>
      </c>
      <c r="D78" s="9">
        <f>Assumptions!$B$6*(1+Assumptions!$B$7)^(A78-1)*IF(B78="Boss",1.5,1)</f>
        <v>211.0811342</v>
      </c>
      <c r="E78" s="9">
        <f t="shared" si="1"/>
        <v>1055.405671</v>
      </c>
      <c r="F78" s="9">
        <f t="shared" si="2"/>
        <v>1101.524451</v>
      </c>
    </row>
    <row r="79" ht="15.0" customHeight="1">
      <c r="A79" s="4">
        <v>75.0</v>
      </c>
      <c r="B79" s="8" t="str">
        <f>IF(MOD(A79,Assumptions!$B$8)=0,"Boss","")</f>
        <v/>
      </c>
      <c r="C79" s="9">
        <f>Assumptions!$B$4*(1+Assumptions!$B$5)^(A79-1)*IF(B79="Boss",Assumptions!$B$9,1)</f>
        <v>5948.232036</v>
      </c>
      <c r="D79" s="9">
        <f>Assumptions!$B$6*(1+Assumptions!$B$7)^(A79-1)*IF(B79="Boss",1.5,1)</f>
        <v>223.7460022</v>
      </c>
      <c r="E79" s="9">
        <f t="shared" si="1"/>
        <v>1118.730011</v>
      </c>
      <c r="F79" s="9">
        <f t="shared" si="2"/>
        <v>1189.646407</v>
      </c>
    </row>
    <row r="80" ht="15.0" customHeight="1">
      <c r="A80" s="4">
        <v>76.0</v>
      </c>
      <c r="B80" s="8" t="str">
        <f>IF(MOD(A80,Assumptions!$B$8)=0,"Boss","")</f>
        <v/>
      </c>
      <c r="C80" s="9">
        <f>Assumptions!$B$4*(1+Assumptions!$B$5)^(A80-1)*IF(B80="Boss",Assumptions!$B$9,1)</f>
        <v>6424.090599</v>
      </c>
      <c r="D80" s="9">
        <f>Assumptions!$B$6*(1+Assumptions!$B$7)^(A80-1)*IF(B80="Boss",1.5,1)</f>
        <v>237.1707624</v>
      </c>
      <c r="E80" s="9">
        <f t="shared" si="1"/>
        <v>1185.853812</v>
      </c>
      <c r="F80" s="9">
        <f t="shared" si="2"/>
        <v>1284.81812</v>
      </c>
    </row>
    <row r="81" ht="15.0" customHeight="1">
      <c r="A81" s="4">
        <v>77.0</v>
      </c>
      <c r="B81" s="8" t="str">
        <f>IF(MOD(A81,Assumptions!$B$8)=0,"Boss","")</f>
        <v/>
      </c>
      <c r="C81" s="9">
        <f>Assumptions!$B$4*(1+Assumptions!$B$5)^(A81-1)*IF(B81="Boss",Assumptions!$B$9,1)</f>
        <v>6938.017847</v>
      </c>
      <c r="D81" s="9">
        <f>Assumptions!$B$6*(1+Assumptions!$B$7)^(A81-1)*IF(B81="Boss",1.5,1)</f>
        <v>251.4010081</v>
      </c>
      <c r="E81" s="9">
        <f t="shared" si="1"/>
        <v>1257.00504</v>
      </c>
      <c r="F81" s="9">
        <f t="shared" si="2"/>
        <v>1387.603569</v>
      </c>
    </row>
    <row r="82" ht="15.0" customHeight="1">
      <c r="A82" s="4">
        <v>78.0</v>
      </c>
      <c r="B82" s="8" t="str">
        <f>IF(MOD(A82,Assumptions!$B$8)=0,"Boss","")</f>
        <v/>
      </c>
      <c r="C82" s="9">
        <f>Assumptions!$B$4*(1+Assumptions!$B$5)^(A82-1)*IF(B82="Boss",Assumptions!$B$9,1)</f>
        <v>7493.059275</v>
      </c>
      <c r="D82" s="9">
        <f>Assumptions!$B$6*(1+Assumptions!$B$7)^(A82-1)*IF(B82="Boss",1.5,1)</f>
        <v>266.4850686</v>
      </c>
      <c r="E82" s="9">
        <f t="shared" si="1"/>
        <v>1332.425343</v>
      </c>
      <c r="F82" s="9">
        <f t="shared" si="2"/>
        <v>1498.611855</v>
      </c>
    </row>
    <row r="83" ht="15.0" customHeight="1">
      <c r="A83" s="4">
        <v>79.0</v>
      </c>
      <c r="B83" s="8" t="str">
        <f>IF(MOD(A83,Assumptions!$B$8)=0,"Boss","")</f>
        <v/>
      </c>
      <c r="C83" s="9">
        <f>Assumptions!$B$4*(1+Assumptions!$B$5)^(A83-1)*IF(B83="Boss",Assumptions!$B$9,1)</f>
        <v>8092.504017</v>
      </c>
      <c r="D83" s="9">
        <f>Assumptions!$B$6*(1+Assumptions!$B$7)^(A83-1)*IF(B83="Boss",1.5,1)</f>
        <v>282.4741727</v>
      </c>
      <c r="E83" s="9">
        <f t="shared" si="1"/>
        <v>1412.370864</v>
      </c>
      <c r="F83" s="9">
        <f t="shared" si="2"/>
        <v>1618.500803</v>
      </c>
    </row>
    <row r="84" ht="15.0" customHeight="1">
      <c r="A84" s="4">
        <v>80.0</v>
      </c>
      <c r="B84" s="8" t="str">
        <f>IF(MOD(A84,Assumptions!$B$8)=0,"Boss","")</f>
        <v>Boss</v>
      </c>
      <c r="C84" s="9">
        <f>Assumptions!$B$4*(1+Assumptions!$B$5)^(A84-1)*IF(B84="Boss",Assumptions!$B$9,1)</f>
        <v>26219.71301</v>
      </c>
      <c r="D84" s="9">
        <f>Assumptions!$B$6*(1+Assumptions!$B$7)^(A84-1)*IF(B84="Boss",1.5,1)</f>
        <v>449.1339346</v>
      </c>
      <c r="E84" s="9">
        <f t="shared" si="1"/>
        <v>2245.669673</v>
      </c>
      <c r="F84" s="9">
        <f t="shared" si="2"/>
        <v>5243.942603</v>
      </c>
    </row>
    <row r="85" ht="15.0" customHeight="1">
      <c r="A85" s="4">
        <v>81.0</v>
      </c>
      <c r="B85" s="8" t="str">
        <f>IF(MOD(A85,Assumptions!$B$8)=0,"Boss","")</f>
        <v/>
      </c>
      <c r="C85" s="9">
        <f>Assumptions!$B$4*(1+Assumptions!$B$5)^(A85-1)*IF(B85="Boss",Assumptions!$B$9,1)</f>
        <v>9439.096685</v>
      </c>
      <c r="D85" s="9">
        <f>Assumptions!$B$6*(1+Assumptions!$B$7)^(A85-1)*IF(B85="Boss",1.5,1)</f>
        <v>317.3879804</v>
      </c>
      <c r="E85" s="9">
        <f t="shared" si="1"/>
        <v>1586.939902</v>
      </c>
      <c r="F85" s="9">
        <f t="shared" si="2"/>
        <v>1887.819337</v>
      </c>
    </row>
    <row r="86" ht="15.0" customHeight="1">
      <c r="A86" s="4">
        <v>82.0</v>
      </c>
      <c r="B86" s="8" t="str">
        <f>IF(MOD(A86,Assumptions!$B$8)=0,"Boss","")</f>
        <v/>
      </c>
      <c r="C86" s="9">
        <f>Assumptions!$B$4*(1+Assumptions!$B$5)^(A86-1)*IF(B86="Boss",Assumptions!$B$9,1)</f>
        <v>10194.22442</v>
      </c>
      <c r="D86" s="9">
        <f>Assumptions!$B$6*(1+Assumptions!$B$7)^(A86-1)*IF(B86="Boss",1.5,1)</f>
        <v>336.4312593</v>
      </c>
      <c r="E86" s="9">
        <f t="shared" si="1"/>
        <v>1682.156296</v>
      </c>
      <c r="F86" s="9">
        <f t="shared" si="2"/>
        <v>2038.844884</v>
      </c>
    </row>
    <row r="87" ht="15.0" customHeight="1">
      <c r="A87" s="4">
        <v>83.0</v>
      </c>
      <c r="B87" s="8" t="str">
        <f>IF(MOD(A87,Assumptions!$B$8)=0,"Boss","")</f>
        <v/>
      </c>
      <c r="C87" s="9">
        <f>Assumptions!$B$4*(1+Assumptions!$B$5)^(A87-1)*IF(B87="Boss",Assumptions!$B$9,1)</f>
        <v>11009.76237</v>
      </c>
      <c r="D87" s="9">
        <f>Assumptions!$B$6*(1+Assumptions!$B$7)^(A87-1)*IF(B87="Boss",1.5,1)</f>
        <v>356.6171348</v>
      </c>
      <c r="E87" s="9">
        <f t="shared" si="1"/>
        <v>1783.085674</v>
      </c>
      <c r="F87" s="9">
        <f t="shared" si="2"/>
        <v>2201.952475</v>
      </c>
    </row>
    <row r="88" ht="15.0" customHeight="1">
      <c r="A88" s="4">
        <v>84.0</v>
      </c>
      <c r="B88" s="8" t="str">
        <f>IF(MOD(A88,Assumptions!$B$8)=0,"Boss","")</f>
        <v/>
      </c>
      <c r="C88" s="9">
        <f>Assumptions!$B$4*(1+Assumptions!$B$5)^(A88-1)*IF(B88="Boss",Assumptions!$B$9,1)</f>
        <v>11890.54336</v>
      </c>
      <c r="D88" s="9">
        <f>Assumptions!$B$6*(1+Assumptions!$B$7)^(A88-1)*IF(B88="Boss",1.5,1)</f>
        <v>378.0141629</v>
      </c>
      <c r="E88" s="9">
        <f t="shared" si="1"/>
        <v>1890.070815</v>
      </c>
      <c r="F88" s="9">
        <f t="shared" si="2"/>
        <v>2378.108673</v>
      </c>
    </row>
    <row r="89" ht="15.0" customHeight="1">
      <c r="A89" s="4">
        <v>85.0</v>
      </c>
      <c r="B89" s="8" t="str">
        <f>IF(MOD(A89,Assumptions!$B$8)=0,"Boss","")</f>
        <v/>
      </c>
      <c r="C89" s="9">
        <f>Assumptions!$B$4*(1+Assumptions!$B$5)^(A89-1)*IF(B89="Boss",Assumptions!$B$9,1)</f>
        <v>12841.78683</v>
      </c>
      <c r="D89" s="9">
        <f>Assumptions!$B$6*(1+Assumptions!$B$7)^(A89-1)*IF(B89="Boss",1.5,1)</f>
        <v>400.6950127</v>
      </c>
      <c r="E89" s="9">
        <f t="shared" si="1"/>
        <v>2003.475063</v>
      </c>
      <c r="F89" s="9">
        <f t="shared" si="2"/>
        <v>2568.357367</v>
      </c>
    </row>
    <row r="90" ht="15.0" customHeight="1">
      <c r="A90" s="4">
        <v>86.0</v>
      </c>
      <c r="B90" s="8" t="str">
        <f>IF(MOD(A90,Assumptions!$B$8)=0,"Boss","")</f>
        <v/>
      </c>
      <c r="C90" s="9">
        <f>Assumptions!$B$4*(1+Assumptions!$B$5)^(A90-1)*IF(B90="Boss",Assumptions!$B$9,1)</f>
        <v>13869.12978</v>
      </c>
      <c r="D90" s="9">
        <f>Assumptions!$B$6*(1+Assumptions!$B$7)^(A90-1)*IF(B90="Boss",1.5,1)</f>
        <v>424.7367135</v>
      </c>
      <c r="E90" s="9">
        <f t="shared" si="1"/>
        <v>2123.683567</v>
      </c>
      <c r="F90" s="9">
        <f t="shared" si="2"/>
        <v>2773.825956</v>
      </c>
    </row>
    <row r="91" ht="15.0" customHeight="1">
      <c r="A91" s="4">
        <v>87.0</v>
      </c>
      <c r="B91" s="8" t="str">
        <f>IF(MOD(A91,Assumptions!$B$8)=0,"Boss","")</f>
        <v/>
      </c>
      <c r="C91" s="9">
        <f>Assumptions!$B$4*(1+Assumptions!$B$5)^(A91-1)*IF(B91="Boss",Assumptions!$B$9,1)</f>
        <v>14978.66016</v>
      </c>
      <c r="D91" s="9">
        <f>Assumptions!$B$6*(1+Assumptions!$B$7)^(A91-1)*IF(B91="Boss",1.5,1)</f>
        <v>450.2209163</v>
      </c>
      <c r="E91" s="9">
        <f t="shared" si="1"/>
        <v>2251.104581</v>
      </c>
      <c r="F91" s="9">
        <f t="shared" si="2"/>
        <v>2995.732032</v>
      </c>
    </row>
    <row r="92" ht="15.0" customHeight="1">
      <c r="A92" s="4">
        <v>88.0</v>
      </c>
      <c r="B92" s="8" t="str">
        <f>IF(MOD(A92,Assumptions!$B$8)=0,"Boss","")</f>
        <v/>
      </c>
      <c r="C92" s="9">
        <f>Assumptions!$B$4*(1+Assumptions!$B$5)^(A92-1)*IF(B92="Boss",Assumptions!$B$9,1)</f>
        <v>16176.95297</v>
      </c>
      <c r="D92" s="9">
        <f>Assumptions!$B$6*(1+Assumptions!$B$7)^(A92-1)*IF(B92="Boss",1.5,1)</f>
        <v>477.2341712</v>
      </c>
      <c r="E92" s="9">
        <f t="shared" si="1"/>
        <v>2386.170856</v>
      </c>
      <c r="F92" s="9">
        <f t="shared" si="2"/>
        <v>3235.390595</v>
      </c>
    </row>
    <row r="93" ht="15.0" customHeight="1">
      <c r="A93" s="4">
        <v>89.0</v>
      </c>
      <c r="B93" s="8" t="str">
        <f>IF(MOD(A93,Assumptions!$B$8)=0,"Boss","")</f>
        <v/>
      </c>
      <c r="C93" s="9">
        <f>Assumptions!$B$4*(1+Assumptions!$B$5)^(A93-1)*IF(B93="Boss",Assumptions!$B$9,1)</f>
        <v>17471.10921</v>
      </c>
      <c r="D93" s="9">
        <f>Assumptions!$B$6*(1+Assumptions!$B$7)^(A93-1)*IF(B93="Boss",1.5,1)</f>
        <v>505.8682215</v>
      </c>
      <c r="E93" s="9">
        <f t="shared" si="1"/>
        <v>2529.341108</v>
      </c>
      <c r="F93" s="9">
        <f t="shared" si="2"/>
        <v>3494.221843</v>
      </c>
    </row>
    <row r="94" ht="15.0" customHeight="1">
      <c r="A94" s="4">
        <v>90.0</v>
      </c>
      <c r="B94" s="8" t="str">
        <f>IF(MOD(A94,Assumptions!$B$8)=0,"Boss","")</f>
        <v>Boss</v>
      </c>
      <c r="C94" s="9">
        <f>Assumptions!$B$4*(1+Assumptions!$B$5)^(A94-1)*IF(B94="Boss",Assumptions!$B$9,1)</f>
        <v>56606.39385</v>
      </c>
      <c r="D94" s="9">
        <f>Assumptions!$B$6*(1+Assumptions!$B$7)^(A94-1)*IF(B94="Boss",1.5,1)</f>
        <v>804.3304722</v>
      </c>
      <c r="E94" s="9">
        <f t="shared" si="1"/>
        <v>4021.652361</v>
      </c>
      <c r="F94" s="9">
        <f t="shared" si="2"/>
        <v>11321.27877</v>
      </c>
    </row>
    <row r="95" ht="15.0" customHeight="1">
      <c r="A95" s="4">
        <v>91.0</v>
      </c>
      <c r="B95" s="8" t="str">
        <f>IF(MOD(A95,Assumptions!$B$8)=0,"Boss","")</f>
        <v/>
      </c>
      <c r="C95" s="9">
        <f>Assumptions!$B$4*(1+Assumptions!$B$5)^(A95-1)*IF(B95="Boss",Assumptions!$B$9,1)</f>
        <v>20378.30179</v>
      </c>
      <c r="D95" s="9">
        <f>Assumptions!$B$6*(1+Assumptions!$B$7)^(A95-1)*IF(B95="Boss",1.5,1)</f>
        <v>568.3935337</v>
      </c>
      <c r="E95" s="9">
        <f t="shared" si="1"/>
        <v>2841.967668</v>
      </c>
      <c r="F95" s="9">
        <f t="shared" si="2"/>
        <v>4075.660357</v>
      </c>
    </row>
    <row r="96" ht="15.0" customHeight="1">
      <c r="A96" s="4">
        <v>92.0</v>
      </c>
      <c r="B96" s="8" t="str">
        <f>IF(MOD(A96,Assumptions!$B$8)=0,"Boss","")</f>
        <v/>
      </c>
      <c r="C96" s="9">
        <f>Assumptions!$B$4*(1+Assumptions!$B$5)^(A96-1)*IF(B96="Boss",Assumptions!$B$9,1)</f>
        <v>22008.56593</v>
      </c>
      <c r="D96" s="9">
        <f>Assumptions!$B$6*(1+Assumptions!$B$7)^(A96-1)*IF(B96="Boss",1.5,1)</f>
        <v>602.4971457</v>
      </c>
      <c r="E96" s="9">
        <f t="shared" si="1"/>
        <v>3012.485729</v>
      </c>
      <c r="F96" s="9">
        <f t="shared" si="2"/>
        <v>4401.713186</v>
      </c>
    </row>
    <row r="97" ht="15.0" customHeight="1">
      <c r="A97" s="4">
        <v>93.0</v>
      </c>
      <c r="B97" s="8" t="str">
        <f>IF(MOD(A97,Assumptions!$B$8)=0,"Boss","")</f>
        <v/>
      </c>
      <c r="C97" s="9">
        <f>Assumptions!$B$4*(1+Assumptions!$B$5)^(A97-1)*IF(B97="Boss",Assumptions!$B$9,1)</f>
        <v>23769.2512</v>
      </c>
      <c r="D97" s="9">
        <f>Assumptions!$B$6*(1+Assumptions!$B$7)^(A97-1)*IF(B97="Boss",1.5,1)</f>
        <v>638.6469745</v>
      </c>
      <c r="E97" s="9">
        <f t="shared" si="1"/>
        <v>3193.234872</v>
      </c>
      <c r="F97" s="9">
        <f t="shared" si="2"/>
        <v>4753.850241</v>
      </c>
    </row>
    <row r="98" ht="15.0" customHeight="1">
      <c r="A98" s="4">
        <v>94.0</v>
      </c>
      <c r="B98" s="8" t="str">
        <f>IF(MOD(A98,Assumptions!$B$8)=0,"Boss","")</f>
        <v/>
      </c>
      <c r="C98" s="9">
        <f>Assumptions!$B$4*(1+Assumptions!$B$5)^(A98-1)*IF(B98="Boss",Assumptions!$B$9,1)</f>
        <v>25670.7913</v>
      </c>
      <c r="D98" s="9">
        <f>Assumptions!$B$6*(1+Assumptions!$B$7)^(A98-1)*IF(B98="Boss",1.5,1)</f>
        <v>676.9657929</v>
      </c>
      <c r="E98" s="9">
        <f t="shared" si="1"/>
        <v>3384.828965</v>
      </c>
      <c r="F98" s="9">
        <f t="shared" si="2"/>
        <v>5134.15826</v>
      </c>
    </row>
    <row r="99" ht="15.0" customHeight="1">
      <c r="A99" s="4">
        <v>95.0</v>
      </c>
      <c r="B99" s="8" t="str">
        <f>IF(MOD(A99,Assumptions!$B$8)=0,"Boss","")</f>
        <v/>
      </c>
      <c r="C99" s="9">
        <f>Assumptions!$B$4*(1+Assumptions!$B$5)^(A99-1)*IF(B99="Boss",Assumptions!$B$9,1)</f>
        <v>27724.4546</v>
      </c>
      <c r="D99" s="9">
        <f>Assumptions!$B$6*(1+Assumptions!$B$7)^(A99-1)*IF(B99="Boss",1.5,1)</f>
        <v>717.5837405</v>
      </c>
      <c r="E99" s="9">
        <f t="shared" si="1"/>
        <v>3587.918703</v>
      </c>
      <c r="F99" s="9">
        <f t="shared" si="2"/>
        <v>5544.890921</v>
      </c>
    </row>
    <row r="100" ht="15.0" customHeight="1">
      <c r="A100" s="4">
        <v>96.0</v>
      </c>
      <c r="B100" s="8" t="str">
        <f>IF(MOD(A100,Assumptions!$B$8)=0,"Boss","")</f>
        <v/>
      </c>
      <c r="C100" s="9">
        <f>Assumptions!$B$4*(1+Assumptions!$B$5)^(A100-1)*IF(B100="Boss",Assumptions!$B$9,1)</f>
        <v>29942.41097</v>
      </c>
      <c r="D100" s="9">
        <f>Assumptions!$B$6*(1+Assumptions!$B$7)^(A100-1)*IF(B100="Boss",1.5,1)</f>
        <v>760.6387649</v>
      </c>
      <c r="E100" s="9">
        <f t="shared" si="1"/>
        <v>3803.193825</v>
      </c>
      <c r="F100" s="9">
        <f t="shared" si="2"/>
        <v>5988.482194</v>
      </c>
    </row>
    <row r="101" ht="15.0" customHeight="1">
      <c r="A101" s="4">
        <v>97.0</v>
      </c>
      <c r="B101" s="8" t="str">
        <f>IF(MOD(A101,Assumptions!$B$8)=0,"Boss","")</f>
        <v/>
      </c>
      <c r="C101" s="9">
        <f>Assumptions!$B$4*(1+Assumptions!$B$5)^(A101-1)*IF(B101="Boss",Assumptions!$B$9,1)</f>
        <v>32337.80385</v>
      </c>
      <c r="D101" s="9">
        <f>Assumptions!$B$6*(1+Assumptions!$B$7)^(A101-1)*IF(B101="Boss",1.5,1)</f>
        <v>806.2770908</v>
      </c>
      <c r="E101" s="9">
        <f t="shared" si="1"/>
        <v>4031.385454</v>
      </c>
      <c r="F101" s="9">
        <f t="shared" si="2"/>
        <v>6467.56077</v>
      </c>
    </row>
    <row r="102" ht="15.0" customHeight="1">
      <c r="A102" s="4">
        <v>98.0</v>
      </c>
      <c r="B102" s="8" t="str">
        <f>IF(MOD(A102,Assumptions!$B$8)=0,"Boss","")</f>
        <v/>
      </c>
      <c r="C102" s="9">
        <f>Assumptions!$B$4*(1+Assumptions!$B$5)^(A102-1)*IF(B102="Boss",Assumptions!$B$9,1)</f>
        <v>34924.82816</v>
      </c>
      <c r="D102" s="9">
        <f>Assumptions!$B$6*(1+Assumptions!$B$7)^(A102-1)*IF(B102="Boss",1.5,1)</f>
        <v>854.6537163</v>
      </c>
      <c r="E102" s="9">
        <f t="shared" si="1"/>
        <v>4273.268581</v>
      </c>
      <c r="F102" s="9">
        <f t="shared" si="2"/>
        <v>6984.965631</v>
      </c>
    </row>
    <row r="103" ht="15.0" customHeight="1">
      <c r="A103" s="4">
        <v>99.0</v>
      </c>
      <c r="B103" s="8" t="str">
        <f>IF(MOD(A103,Assumptions!$B$8)=0,"Boss","")</f>
        <v/>
      </c>
      <c r="C103" s="9">
        <f>Assumptions!$B$4*(1+Assumptions!$B$5)^(A103-1)*IF(B103="Boss",Assumptions!$B$9,1)</f>
        <v>37718.81441</v>
      </c>
      <c r="D103" s="9">
        <f>Assumptions!$B$6*(1+Assumptions!$B$7)^(A103-1)*IF(B103="Boss",1.5,1)</f>
        <v>905.9329393</v>
      </c>
      <c r="E103" s="9">
        <f t="shared" si="1"/>
        <v>4529.664696</v>
      </c>
      <c r="F103" s="9">
        <f t="shared" si="2"/>
        <v>7543.762882</v>
      </c>
    </row>
    <row r="104" ht="15.0" customHeight="1">
      <c r="A104" s="4">
        <v>100.0</v>
      </c>
      <c r="B104" s="8" t="str">
        <f>IF(MOD(A104,Assumptions!$B$8)=0,"Boss","")</f>
        <v>Boss</v>
      </c>
      <c r="C104" s="9">
        <f>Assumptions!$B$4*(1+Assumptions!$B$5)^(A104-1)*IF(B104="Boss",Assumptions!$B$9,1)</f>
        <v>122208.9587</v>
      </c>
      <c r="D104" s="9">
        <f>Assumptions!$B$6*(1+Assumptions!$B$7)^(A104-1)*IF(B104="Boss",1.5,1)</f>
        <v>1440.433373</v>
      </c>
      <c r="E104" s="9">
        <f t="shared" si="1"/>
        <v>7202.166867</v>
      </c>
      <c r="F104" s="9">
        <f t="shared" si="2"/>
        <v>24441.79174</v>
      </c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16.0"/>
    <col customWidth="1" min="4" max="5" width="30.0"/>
    <col customWidth="1" min="6" max="26" width="8.71"/>
  </cols>
  <sheetData>
    <row r="1" ht="17.25" customHeight="1">
      <c r="A1" s="1" t="s">
        <v>69</v>
      </c>
    </row>
    <row r="2" ht="15.0" customHeight="1">
      <c r="A2" s="7" t="s">
        <v>70</v>
      </c>
      <c r="B2" s="2"/>
      <c r="C2" s="2"/>
      <c r="D2" s="2"/>
      <c r="E2" s="2"/>
    </row>
    <row r="3">
      <c r="A3" s="2"/>
      <c r="B3" s="2"/>
      <c r="C3" s="2"/>
      <c r="D3" s="2"/>
      <c r="E3" s="2"/>
    </row>
    <row r="4" ht="15.0" customHeight="1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</row>
    <row r="5" ht="15.0" customHeight="1">
      <c r="A5" s="8">
        <v>1.0</v>
      </c>
      <c r="B5" s="5" t="s">
        <v>76</v>
      </c>
      <c r="C5" s="10">
        <f>Assumptions!$B$12*A5</f>
        <v>0.15</v>
      </c>
      <c r="D5" s="9">
        <f>Assumptions!$B$10*(1+C5*Assumptions!$B$14)</f>
        <v>52.5</v>
      </c>
      <c r="E5" s="9">
        <f>Assumptions!$B$11*(1+C5*Assumptions!$B$14)</f>
        <v>8.75</v>
      </c>
    </row>
    <row r="6" ht="15.0" customHeight="1">
      <c r="A6" s="8">
        <v>2.0</v>
      </c>
      <c r="B6" s="5" t="s">
        <v>77</v>
      </c>
      <c r="C6" s="10">
        <f>Assumptions!$B$12*A6</f>
        <v>0.3</v>
      </c>
      <c r="D6" s="9">
        <f>Assumptions!$B$10*(1+C6*Assumptions!$B$14)</f>
        <v>75</v>
      </c>
      <c r="E6" s="9">
        <f>Assumptions!$B$11*(1+C6*Assumptions!$B$14)</f>
        <v>12.5</v>
      </c>
    </row>
    <row r="7" ht="15.0" customHeight="1">
      <c r="A7" s="8">
        <v>3.0</v>
      </c>
      <c r="B7" s="5" t="s">
        <v>78</v>
      </c>
      <c r="C7" s="10">
        <f>Assumptions!$B$12*A7</f>
        <v>0.45</v>
      </c>
      <c r="D7" s="9">
        <f>Assumptions!$B$10*(1+C7*Assumptions!$B$14)</f>
        <v>97.5</v>
      </c>
      <c r="E7" s="9">
        <f>Assumptions!$B$11*(1+C7*Assumptions!$B$14)</f>
        <v>16.25</v>
      </c>
    </row>
    <row r="8" ht="15.0" customHeight="1">
      <c r="A8" s="8">
        <v>4.0</v>
      </c>
      <c r="B8" s="5" t="s">
        <v>79</v>
      </c>
      <c r="C8" s="10">
        <f>Assumptions!$B$12*A8</f>
        <v>0.6</v>
      </c>
      <c r="D8" s="9">
        <f>Assumptions!$B$10*(1+C8*Assumptions!$B$14)</f>
        <v>120</v>
      </c>
      <c r="E8" s="9">
        <f>Assumptions!$B$11*(1+C8*Assumptions!$B$14)</f>
        <v>20</v>
      </c>
    </row>
    <row r="9" ht="15.0" customHeight="1">
      <c r="A9" s="8">
        <v>5.0</v>
      </c>
      <c r="B9" s="5" t="s">
        <v>80</v>
      </c>
      <c r="C9" s="10">
        <f>Assumptions!$B$12*A9</f>
        <v>0.75</v>
      </c>
      <c r="D9" s="9">
        <f>Assumptions!$B$10*(1+C9*Assumptions!$B$14)</f>
        <v>142.5</v>
      </c>
      <c r="E9" s="9">
        <f>Assumptions!$B$11*(1+C9*Assumptions!$B$14)</f>
        <v>23.75</v>
      </c>
    </row>
    <row r="10" ht="15.0" customHeight="1">
      <c r="A10" s="8">
        <v>6.0</v>
      </c>
      <c r="B10" s="5" t="s">
        <v>81</v>
      </c>
      <c r="C10" s="10">
        <f>Assumptions!$B$12*A10</f>
        <v>0.9</v>
      </c>
      <c r="D10" s="9">
        <f>Assumptions!$B$10*(1+C10*Assumptions!$B$14)</f>
        <v>165</v>
      </c>
      <c r="E10" s="9">
        <f>Assumptions!$B$11*(1+C10*Assumptions!$B$14)</f>
        <v>27.5</v>
      </c>
    </row>
    <row r="11">
      <c r="A11" s="2"/>
      <c r="B11" s="2"/>
      <c r="C11" s="2"/>
      <c r="D11" s="2"/>
      <c r="E11" s="2"/>
    </row>
    <row r="12" ht="15.0" customHeight="1">
      <c r="A12" s="11" t="s">
        <v>82</v>
      </c>
    </row>
    <row r="13" ht="15.0" customHeight="1"/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2">
    <mergeCell ref="A1:E1"/>
    <mergeCell ref="A12:E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2.0"/>
    <col customWidth="1" min="4" max="4" width="34.0"/>
    <col customWidth="1" min="5" max="5" width="24.0"/>
    <col customWidth="1" min="6" max="26" width="8.71"/>
  </cols>
  <sheetData>
    <row r="1" ht="17.25" customHeight="1">
      <c r="A1" s="1" t="s">
        <v>83</v>
      </c>
    </row>
    <row r="2" ht="15.0" customHeight="1">
      <c r="A2" s="2" t="s">
        <v>84</v>
      </c>
      <c r="B2" s="2"/>
      <c r="C2" s="2"/>
      <c r="D2" s="2"/>
      <c r="E2" s="2"/>
    </row>
    <row r="3" ht="15.0" customHeight="1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</row>
    <row r="4" ht="15.0" customHeight="1">
      <c r="A4" s="8">
        <v>1.0</v>
      </c>
      <c r="B4" s="9">
        <f>Assumptions!$B$15+MIN(A4-1,Assumptions!$B$17-1)*Assumptions!$B$16</f>
        <v>10</v>
      </c>
      <c r="C4" s="9">
        <f>B4</f>
        <v>10</v>
      </c>
      <c r="D4" s="9">
        <f>Assumptions!$B$18*Assumptions!$B$19</f>
        <v>75</v>
      </c>
      <c r="E4" s="9">
        <f t="shared" ref="E4:E17" si="1">B4+D4</f>
        <v>85</v>
      </c>
    </row>
    <row r="5" ht="15.0" customHeight="1">
      <c r="A5" s="8">
        <v>2.0</v>
      </c>
      <c r="B5" s="9">
        <f>Assumptions!$B$15+MIN(A5-1,Assumptions!$B$17-1)*Assumptions!$B$16</f>
        <v>15</v>
      </c>
      <c r="C5" s="9">
        <f t="shared" ref="C5:C17" si="2">C4+B5</f>
        <v>25</v>
      </c>
      <c r="D5" s="9">
        <f>Assumptions!$B$18*Assumptions!$B$19</f>
        <v>75</v>
      </c>
      <c r="E5" s="9">
        <f t="shared" si="1"/>
        <v>90</v>
      </c>
    </row>
    <row r="6" ht="15.0" customHeight="1">
      <c r="A6" s="8">
        <v>3.0</v>
      </c>
      <c r="B6" s="9">
        <f>Assumptions!$B$15+MIN(A6-1,Assumptions!$B$17-1)*Assumptions!$B$16</f>
        <v>20</v>
      </c>
      <c r="C6" s="9">
        <f t="shared" si="2"/>
        <v>45</v>
      </c>
      <c r="D6" s="9">
        <f>Assumptions!$B$18*Assumptions!$B$19</f>
        <v>75</v>
      </c>
      <c r="E6" s="9">
        <f t="shared" si="1"/>
        <v>95</v>
      </c>
    </row>
    <row r="7" ht="15.0" customHeight="1">
      <c r="A7" s="8">
        <v>4.0</v>
      </c>
      <c r="B7" s="9">
        <f>Assumptions!$B$15+MIN(A7-1,Assumptions!$B$17-1)*Assumptions!$B$16</f>
        <v>25</v>
      </c>
      <c r="C7" s="9">
        <f t="shared" si="2"/>
        <v>70</v>
      </c>
      <c r="D7" s="9">
        <f>Assumptions!$B$18*Assumptions!$B$19</f>
        <v>75</v>
      </c>
      <c r="E7" s="9">
        <f t="shared" si="1"/>
        <v>100</v>
      </c>
    </row>
    <row r="8" ht="15.0" customHeight="1">
      <c r="A8" s="8">
        <v>5.0</v>
      </c>
      <c r="B8" s="9">
        <f>Assumptions!$B$15+MIN(A8-1,Assumptions!$B$17-1)*Assumptions!$B$16</f>
        <v>30</v>
      </c>
      <c r="C8" s="9">
        <f t="shared" si="2"/>
        <v>100</v>
      </c>
      <c r="D8" s="9">
        <f>Assumptions!$B$18*Assumptions!$B$19</f>
        <v>75</v>
      </c>
      <c r="E8" s="9">
        <f t="shared" si="1"/>
        <v>105</v>
      </c>
    </row>
    <row r="9" ht="15.0" customHeight="1">
      <c r="A9" s="8">
        <v>6.0</v>
      </c>
      <c r="B9" s="9">
        <f>Assumptions!$B$15+MIN(A9-1,Assumptions!$B$17-1)*Assumptions!$B$16</f>
        <v>35</v>
      </c>
      <c r="C9" s="9">
        <f t="shared" si="2"/>
        <v>135</v>
      </c>
      <c r="D9" s="9">
        <f>Assumptions!$B$18*Assumptions!$B$19</f>
        <v>75</v>
      </c>
      <c r="E9" s="9">
        <f t="shared" si="1"/>
        <v>110</v>
      </c>
    </row>
    <row r="10" ht="15.0" customHeight="1">
      <c r="A10" s="8">
        <v>7.0</v>
      </c>
      <c r="B10" s="9">
        <f>Assumptions!$B$15+MIN(A10-1,Assumptions!$B$17-1)*Assumptions!$B$16</f>
        <v>40</v>
      </c>
      <c r="C10" s="9">
        <f t="shared" si="2"/>
        <v>175</v>
      </c>
      <c r="D10" s="9">
        <f>Assumptions!$B$18*Assumptions!$B$19</f>
        <v>75</v>
      </c>
      <c r="E10" s="9">
        <f t="shared" si="1"/>
        <v>115</v>
      </c>
    </row>
    <row r="11" ht="15.0" customHeight="1">
      <c r="A11" s="8">
        <v>8.0</v>
      </c>
      <c r="B11" s="9">
        <f>Assumptions!$B$15+MIN(A11-1,Assumptions!$B$17-1)*Assumptions!$B$16</f>
        <v>40</v>
      </c>
      <c r="C11" s="9">
        <f t="shared" si="2"/>
        <v>215</v>
      </c>
      <c r="D11" s="9">
        <f>Assumptions!$B$18*Assumptions!$B$19</f>
        <v>75</v>
      </c>
      <c r="E11" s="9">
        <f t="shared" si="1"/>
        <v>115</v>
      </c>
    </row>
    <row r="12" ht="15.0" customHeight="1">
      <c r="A12" s="8">
        <v>9.0</v>
      </c>
      <c r="B12" s="9">
        <f>Assumptions!$B$15+MIN(A12-1,Assumptions!$B$17-1)*Assumptions!$B$16</f>
        <v>40</v>
      </c>
      <c r="C12" s="9">
        <f t="shared" si="2"/>
        <v>255</v>
      </c>
      <c r="D12" s="9">
        <f>Assumptions!$B$18*Assumptions!$B$19</f>
        <v>75</v>
      </c>
      <c r="E12" s="9">
        <f t="shared" si="1"/>
        <v>115</v>
      </c>
    </row>
    <row r="13" ht="15.0" customHeight="1">
      <c r="A13" s="8">
        <v>10.0</v>
      </c>
      <c r="B13" s="9">
        <f>Assumptions!$B$15+MIN(A13-1,Assumptions!$B$17-1)*Assumptions!$B$16</f>
        <v>40</v>
      </c>
      <c r="C13" s="9">
        <f t="shared" si="2"/>
        <v>295</v>
      </c>
      <c r="D13" s="9">
        <f>Assumptions!$B$18*Assumptions!$B$19</f>
        <v>75</v>
      </c>
      <c r="E13" s="9">
        <f t="shared" si="1"/>
        <v>115</v>
      </c>
    </row>
    <row r="14" ht="15.0" customHeight="1">
      <c r="A14" s="8">
        <v>11.0</v>
      </c>
      <c r="B14" s="9">
        <f>Assumptions!$B$15+MIN(A14-1,Assumptions!$B$17-1)*Assumptions!$B$16</f>
        <v>40</v>
      </c>
      <c r="C14" s="9">
        <f t="shared" si="2"/>
        <v>335</v>
      </c>
      <c r="D14" s="9">
        <f>Assumptions!$B$18*Assumptions!$B$19</f>
        <v>75</v>
      </c>
      <c r="E14" s="9">
        <f t="shared" si="1"/>
        <v>115</v>
      </c>
    </row>
    <row r="15" ht="15.0" customHeight="1">
      <c r="A15" s="8">
        <v>12.0</v>
      </c>
      <c r="B15" s="9">
        <f>Assumptions!$B$15+MIN(A15-1,Assumptions!$B$17-1)*Assumptions!$B$16</f>
        <v>40</v>
      </c>
      <c r="C15" s="9">
        <f t="shared" si="2"/>
        <v>375</v>
      </c>
      <c r="D15" s="9">
        <f>Assumptions!$B$18*Assumptions!$B$19</f>
        <v>75</v>
      </c>
      <c r="E15" s="9">
        <f t="shared" si="1"/>
        <v>115</v>
      </c>
    </row>
    <row r="16" ht="15.0" customHeight="1">
      <c r="A16" s="8">
        <v>13.0</v>
      </c>
      <c r="B16" s="9">
        <f>Assumptions!$B$15+MIN(A16-1,Assumptions!$B$17-1)*Assumptions!$B$16</f>
        <v>40</v>
      </c>
      <c r="C16" s="9">
        <f t="shared" si="2"/>
        <v>415</v>
      </c>
      <c r="D16" s="9">
        <f>Assumptions!$B$18*Assumptions!$B$19</f>
        <v>75</v>
      </c>
      <c r="E16" s="9">
        <f t="shared" si="1"/>
        <v>115</v>
      </c>
    </row>
    <row r="17" ht="15.0" customHeight="1">
      <c r="A17" s="8">
        <v>14.0</v>
      </c>
      <c r="B17" s="9">
        <f>Assumptions!$B$15+MIN(A17-1,Assumptions!$B$17-1)*Assumptions!$B$16</f>
        <v>40</v>
      </c>
      <c r="C17" s="9">
        <f t="shared" si="2"/>
        <v>455</v>
      </c>
      <c r="D17" s="9">
        <f>Assumptions!$B$18*Assumptions!$B$19</f>
        <v>75</v>
      </c>
      <c r="E17" s="9">
        <f t="shared" si="1"/>
        <v>115</v>
      </c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 ht="15.0" customHeight="1">
      <c r="A20" s="11" t="s">
        <v>90</v>
      </c>
    </row>
    <row r="21" ht="15.0" customHeight="1"/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2">
    <mergeCell ref="A1:E1"/>
    <mergeCell ref="A20:E2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0.0"/>
    <col customWidth="1" min="3" max="3" width="22.0"/>
    <col customWidth="1" min="4" max="4" width="24.0"/>
    <col customWidth="1" min="5" max="26" width="8.71"/>
  </cols>
  <sheetData>
    <row r="1" ht="17.25" customHeight="1">
      <c r="A1" s="1" t="s">
        <v>91</v>
      </c>
    </row>
    <row r="2" ht="15.0" customHeight="1">
      <c r="A2" s="7" t="s">
        <v>92</v>
      </c>
      <c r="B2" s="2"/>
      <c r="C2" s="2"/>
      <c r="D2" s="2"/>
    </row>
    <row r="3">
      <c r="A3" s="2"/>
      <c r="B3" s="2"/>
      <c r="C3" s="2"/>
      <c r="D3" s="2"/>
    </row>
    <row r="4" ht="15.0" customHeight="1">
      <c r="A4" s="3" t="s">
        <v>93</v>
      </c>
      <c r="B4" s="3" t="s">
        <v>94</v>
      </c>
      <c r="C4" s="3" t="s">
        <v>95</v>
      </c>
      <c r="D4" s="3" t="s">
        <v>96</v>
      </c>
    </row>
    <row r="5" ht="15.0" customHeight="1">
      <c r="A5" s="8">
        <v>5.0</v>
      </c>
      <c r="B5" s="9">
        <f>Assumptions!$B$20*A5</f>
        <v>5</v>
      </c>
      <c r="C5" s="9">
        <f>B5</f>
        <v>5</v>
      </c>
      <c r="D5" s="12">
        <f t="shared" ref="D5:D16" si="1">C5/200</f>
        <v>0.025</v>
      </c>
    </row>
    <row r="6" ht="15.0" customHeight="1">
      <c r="A6" s="8">
        <v>10.0</v>
      </c>
      <c r="B6" s="9">
        <f>Assumptions!$B$20*A6</f>
        <v>10</v>
      </c>
      <c r="C6" s="9">
        <f t="shared" ref="C6:C16" si="2">C5+B6</f>
        <v>15</v>
      </c>
      <c r="D6" s="12">
        <f t="shared" si="1"/>
        <v>0.075</v>
      </c>
    </row>
    <row r="7" ht="15.0" customHeight="1">
      <c r="A7" s="8">
        <v>15.0</v>
      </c>
      <c r="B7" s="9">
        <f>Assumptions!$B$20*A7</f>
        <v>15</v>
      </c>
      <c r="C7" s="9">
        <f t="shared" si="2"/>
        <v>30</v>
      </c>
      <c r="D7" s="12">
        <f t="shared" si="1"/>
        <v>0.15</v>
      </c>
    </row>
    <row r="8" ht="15.0" customHeight="1">
      <c r="A8" s="8">
        <v>20.0</v>
      </c>
      <c r="B8" s="9">
        <f>Assumptions!$B$20*A8</f>
        <v>20</v>
      </c>
      <c r="C8" s="9">
        <f t="shared" si="2"/>
        <v>50</v>
      </c>
      <c r="D8" s="12">
        <f t="shared" si="1"/>
        <v>0.25</v>
      </c>
    </row>
    <row r="9" ht="15.0" customHeight="1">
      <c r="A9" s="8">
        <v>25.0</v>
      </c>
      <c r="B9" s="9">
        <f>Assumptions!$B$20*A9</f>
        <v>25</v>
      </c>
      <c r="C9" s="9">
        <f t="shared" si="2"/>
        <v>75</v>
      </c>
      <c r="D9" s="12">
        <f t="shared" si="1"/>
        <v>0.375</v>
      </c>
    </row>
    <row r="10" ht="15.0" customHeight="1">
      <c r="A10" s="8">
        <v>30.0</v>
      </c>
      <c r="B10" s="9">
        <f>Assumptions!$B$20*A10</f>
        <v>30</v>
      </c>
      <c r="C10" s="9">
        <f t="shared" si="2"/>
        <v>105</v>
      </c>
      <c r="D10" s="12">
        <f t="shared" si="1"/>
        <v>0.525</v>
      </c>
    </row>
    <row r="11" ht="15.0" customHeight="1">
      <c r="A11" s="8">
        <v>40.0</v>
      </c>
      <c r="B11" s="9">
        <f>Assumptions!$B$20*A11</f>
        <v>40</v>
      </c>
      <c r="C11" s="9">
        <f t="shared" si="2"/>
        <v>145</v>
      </c>
      <c r="D11" s="12">
        <f t="shared" si="1"/>
        <v>0.725</v>
      </c>
    </row>
    <row r="12" ht="15.0" customHeight="1">
      <c r="A12" s="8">
        <v>50.0</v>
      </c>
      <c r="B12" s="9">
        <f>Assumptions!$B$20*A12</f>
        <v>50</v>
      </c>
      <c r="C12" s="9">
        <f t="shared" si="2"/>
        <v>195</v>
      </c>
      <c r="D12" s="12">
        <f t="shared" si="1"/>
        <v>0.975</v>
      </c>
    </row>
    <row r="13" ht="15.0" customHeight="1">
      <c r="A13" s="8">
        <v>60.0</v>
      </c>
      <c r="B13" s="9">
        <f>Assumptions!$B$20*A13</f>
        <v>60</v>
      </c>
      <c r="C13" s="9">
        <f t="shared" si="2"/>
        <v>255</v>
      </c>
      <c r="D13" s="12">
        <f t="shared" si="1"/>
        <v>1.275</v>
      </c>
    </row>
    <row r="14" ht="15.0" customHeight="1">
      <c r="A14" s="8">
        <v>75.0</v>
      </c>
      <c r="B14" s="9">
        <f>Assumptions!$B$20*A14</f>
        <v>75</v>
      </c>
      <c r="C14" s="9">
        <f t="shared" si="2"/>
        <v>330</v>
      </c>
      <c r="D14" s="12">
        <f t="shared" si="1"/>
        <v>1.65</v>
      </c>
    </row>
    <row r="15" ht="15.0" customHeight="1">
      <c r="A15" s="8">
        <v>90.0</v>
      </c>
      <c r="B15" s="9">
        <f>Assumptions!$B$20*A15</f>
        <v>90</v>
      </c>
      <c r="C15" s="9">
        <f t="shared" si="2"/>
        <v>420</v>
      </c>
      <c r="D15" s="12">
        <f t="shared" si="1"/>
        <v>2.1</v>
      </c>
    </row>
    <row r="16" ht="15.0" customHeight="1">
      <c r="A16" s="8">
        <v>100.0</v>
      </c>
      <c r="B16" s="9">
        <f>Assumptions!$B$20*A16</f>
        <v>100</v>
      </c>
      <c r="C16" s="9">
        <f t="shared" si="2"/>
        <v>520</v>
      </c>
      <c r="D16" s="12">
        <f t="shared" si="1"/>
        <v>2.6</v>
      </c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 ht="15.0" customHeight="1">
      <c r="A19" s="11" t="s">
        <v>97</v>
      </c>
    </row>
    <row r="20" ht="15.0" customHeight="1"/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2">
    <mergeCell ref="A1:D1"/>
    <mergeCell ref="A19:D2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24.0"/>
    <col customWidth="1" min="4" max="4" width="20.0"/>
    <col customWidth="1" min="5" max="5" width="22.0"/>
    <col customWidth="1" min="6" max="26" width="8.71"/>
  </cols>
  <sheetData>
    <row r="1" ht="17.25" customHeight="1">
      <c r="A1" s="1" t="s">
        <v>98</v>
      </c>
    </row>
    <row r="2" ht="15.0" customHeight="1">
      <c r="A2" s="11" t="s">
        <v>99</v>
      </c>
    </row>
    <row r="3" ht="15.0" customHeight="1"/>
    <row r="4">
      <c r="A4" s="2"/>
      <c r="B4" s="2"/>
      <c r="C4" s="2"/>
      <c r="D4" s="2"/>
      <c r="E4" s="2"/>
    </row>
    <row r="5" ht="15.0" customHeight="1">
      <c r="A5" s="3" t="s">
        <v>63</v>
      </c>
      <c r="B5" s="3" t="s">
        <v>100</v>
      </c>
      <c r="C5" s="3" t="s">
        <v>101</v>
      </c>
      <c r="D5" s="3" t="s">
        <v>102</v>
      </c>
      <c r="E5" s="3" t="s">
        <v>103</v>
      </c>
    </row>
    <row r="6" ht="15.0" customHeight="1">
      <c r="A6" s="8">
        <v>1.0</v>
      </c>
      <c r="B6" s="8" t="str">
        <f>IF(MOD(A6,Assumptions!$B$21)=0,"Wall","")</f>
        <v/>
      </c>
      <c r="C6" s="13">
        <f>IF(B6="Wall",Assumptions!$B$22,1+Assumptions!$B$23)</f>
        <v>1.02</v>
      </c>
      <c r="D6" s="14">
        <f>C6</f>
        <v>1.02</v>
      </c>
      <c r="E6" s="10">
        <v>0.0</v>
      </c>
    </row>
    <row r="7" ht="15.0" customHeight="1">
      <c r="A7" s="8">
        <v>2.0</v>
      </c>
      <c r="B7" s="8" t="str">
        <f>IF(MOD(A7,Assumptions!$B$21)=0,"Wall","")</f>
        <v/>
      </c>
      <c r="C7" s="13">
        <f>IF(B7="Wall",Assumptions!$B$22,1+Assumptions!$B$23)</f>
        <v>1.02</v>
      </c>
      <c r="D7" s="14">
        <f t="shared" ref="D7:D105" si="1">D6*C7</f>
        <v>1.0404</v>
      </c>
      <c r="E7" s="10">
        <f t="shared" ref="E7:E105" si="2">(D7/D6)-1</f>
        <v>0.02</v>
      </c>
    </row>
    <row r="8" ht="15.0" customHeight="1">
      <c r="A8" s="8">
        <v>3.0</v>
      </c>
      <c r="B8" s="8" t="str">
        <f>IF(MOD(A8,Assumptions!$B$21)=0,"Wall","")</f>
        <v/>
      </c>
      <c r="C8" s="13">
        <f>IF(B8="Wall",Assumptions!$B$22,1+Assumptions!$B$23)</f>
        <v>1.02</v>
      </c>
      <c r="D8" s="14">
        <f t="shared" si="1"/>
        <v>1.061208</v>
      </c>
      <c r="E8" s="10">
        <f t="shared" si="2"/>
        <v>0.02</v>
      </c>
    </row>
    <row r="9" ht="15.0" customHeight="1">
      <c r="A9" s="8">
        <v>4.0</v>
      </c>
      <c r="B9" s="8" t="str">
        <f>IF(MOD(A9,Assumptions!$B$21)=0,"Wall","")</f>
        <v/>
      </c>
      <c r="C9" s="13">
        <f>IF(B9="Wall",Assumptions!$B$22,1+Assumptions!$B$23)</f>
        <v>1.02</v>
      </c>
      <c r="D9" s="14">
        <f t="shared" si="1"/>
        <v>1.08243216</v>
      </c>
      <c r="E9" s="10">
        <f t="shared" si="2"/>
        <v>0.02</v>
      </c>
    </row>
    <row r="10" ht="15.0" customHeight="1">
      <c r="A10" s="8">
        <v>5.0</v>
      </c>
      <c r="B10" s="8" t="str">
        <f>IF(MOD(A10,Assumptions!$B$21)=0,"Wall","")</f>
        <v/>
      </c>
      <c r="C10" s="13">
        <f>IF(B10="Wall",Assumptions!$B$22,1+Assumptions!$B$23)</f>
        <v>1.02</v>
      </c>
      <c r="D10" s="14">
        <f t="shared" si="1"/>
        <v>1.104080803</v>
      </c>
      <c r="E10" s="10">
        <f t="shared" si="2"/>
        <v>0.02</v>
      </c>
    </row>
    <row r="11" ht="15.0" customHeight="1">
      <c r="A11" s="8">
        <v>6.0</v>
      </c>
      <c r="B11" s="8" t="str">
        <f>IF(MOD(A11,Assumptions!$B$21)=0,"Wall","")</f>
        <v/>
      </c>
      <c r="C11" s="13">
        <f>IF(B11="Wall",Assumptions!$B$22,1+Assumptions!$B$23)</f>
        <v>1.02</v>
      </c>
      <c r="D11" s="14">
        <f t="shared" si="1"/>
        <v>1.126162419</v>
      </c>
      <c r="E11" s="10">
        <f t="shared" si="2"/>
        <v>0.02</v>
      </c>
    </row>
    <row r="12" ht="15.0" customHeight="1">
      <c r="A12" s="8">
        <v>7.0</v>
      </c>
      <c r="B12" s="8" t="str">
        <f>IF(MOD(A12,Assumptions!$B$21)=0,"Wall","")</f>
        <v/>
      </c>
      <c r="C12" s="13">
        <f>IF(B12="Wall",Assumptions!$B$22,1+Assumptions!$B$23)</f>
        <v>1.02</v>
      </c>
      <c r="D12" s="14">
        <f t="shared" si="1"/>
        <v>1.148685668</v>
      </c>
      <c r="E12" s="10">
        <f t="shared" si="2"/>
        <v>0.02</v>
      </c>
    </row>
    <row r="13" ht="15.0" customHeight="1">
      <c r="A13" s="8">
        <v>8.0</v>
      </c>
      <c r="B13" s="8" t="str">
        <f>IF(MOD(A13,Assumptions!$B$21)=0,"Wall","")</f>
        <v/>
      </c>
      <c r="C13" s="13">
        <f>IF(B13="Wall",Assumptions!$B$22,1+Assumptions!$B$23)</f>
        <v>1.02</v>
      </c>
      <c r="D13" s="14">
        <f t="shared" si="1"/>
        <v>1.171659381</v>
      </c>
      <c r="E13" s="10">
        <f t="shared" si="2"/>
        <v>0.02</v>
      </c>
    </row>
    <row r="14" ht="15.0" customHeight="1">
      <c r="A14" s="8">
        <v>9.0</v>
      </c>
      <c r="B14" s="8" t="str">
        <f>IF(MOD(A14,Assumptions!$B$21)=0,"Wall","")</f>
        <v/>
      </c>
      <c r="C14" s="13">
        <f>IF(B14="Wall",Assumptions!$B$22,1+Assumptions!$B$23)</f>
        <v>1.02</v>
      </c>
      <c r="D14" s="14">
        <f t="shared" si="1"/>
        <v>1.195092569</v>
      </c>
      <c r="E14" s="10">
        <f t="shared" si="2"/>
        <v>0.02</v>
      </c>
    </row>
    <row r="15" ht="15.0" customHeight="1">
      <c r="A15" s="8">
        <v>10.0</v>
      </c>
      <c r="B15" s="8" t="str">
        <f>IF(MOD(A15,Assumptions!$B$21)=0,"Wall","")</f>
        <v>Wall</v>
      </c>
      <c r="C15" s="13">
        <f>IF(B15="Wall",Assumptions!$B$22,1+Assumptions!$B$23)</f>
        <v>3</v>
      </c>
      <c r="D15" s="14">
        <f t="shared" si="1"/>
        <v>3.585277706</v>
      </c>
      <c r="E15" s="10">
        <f t="shared" si="2"/>
        <v>2</v>
      </c>
    </row>
    <row r="16" ht="15.0" customHeight="1">
      <c r="A16" s="8">
        <v>11.0</v>
      </c>
      <c r="B16" s="8" t="str">
        <f>IF(MOD(A16,Assumptions!$B$21)=0,"Wall","")</f>
        <v/>
      </c>
      <c r="C16" s="13">
        <f>IF(B16="Wall",Assumptions!$B$22,1+Assumptions!$B$23)</f>
        <v>1.02</v>
      </c>
      <c r="D16" s="14">
        <f t="shared" si="1"/>
        <v>3.65698326</v>
      </c>
      <c r="E16" s="10">
        <f t="shared" si="2"/>
        <v>0.02</v>
      </c>
    </row>
    <row r="17" ht="15.0" customHeight="1">
      <c r="A17" s="8">
        <v>12.0</v>
      </c>
      <c r="B17" s="8" t="str">
        <f>IF(MOD(A17,Assumptions!$B$21)=0,"Wall","")</f>
        <v/>
      </c>
      <c r="C17" s="13">
        <f>IF(B17="Wall",Assumptions!$B$22,1+Assumptions!$B$23)</f>
        <v>1.02</v>
      </c>
      <c r="D17" s="14">
        <f t="shared" si="1"/>
        <v>3.730122925</v>
      </c>
      <c r="E17" s="10">
        <f t="shared" si="2"/>
        <v>0.02</v>
      </c>
    </row>
    <row r="18" ht="15.0" customHeight="1">
      <c r="A18" s="8">
        <v>13.0</v>
      </c>
      <c r="B18" s="8" t="str">
        <f>IF(MOD(A18,Assumptions!$B$21)=0,"Wall","")</f>
        <v/>
      </c>
      <c r="C18" s="13">
        <f>IF(B18="Wall",Assumptions!$B$22,1+Assumptions!$B$23)</f>
        <v>1.02</v>
      </c>
      <c r="D18" s="14">
        <f t="shared" si="1"/>
        <v>3.804725384</v>
      </c>
      <c r="E18" s="10">
        <f t="shared" si="2"/>
        <v>0.02</v>
      </c>
    </row>
    <row r="19" ht="15.0" customHeight="1">
      <c r="A19" s="8">
        <v>14.0</v>
      </c>
      <c r="B19" s="8" t="str">
        <f>IF(MOD(A19,Assumptions!$B$21)=0,"Wall","")</f>
        <v/>
      </c>
      <c r="C19" s="13">
        <f>IF(B19="Wall",Assumptions!$B$22,1+Assumptions!$B$23)</f>
        <v>1.02</v>
      </c>
      <c r="D19" s="14">
        <f t="shared" si="1"/>
        <v>3.880819891</v>
      </c>
      <c r="E19" s="10">
        <f t="shared" si="2"/>
        <v>0.02</v>
      </c>
    </row>
    <row r="20" ht="15.0" customHeight="1">
      <c r="A20" s="8">
        <v>15.0</v>
      </c>
      <c r="B20" s="8" t="str">
        <f>IF(MOD(A20,Assumptions!$B$21)=0,"Wall","")</f>
        <v/>
      </c>
      <c r="C20" s="13">
        <f>IF(B20="Wall",Assumptions!$B$22,1+Assumptions!$B$23)</f>
        <v>1.02</v>
      </c>
      <c r="D20" s="14">
        <f t="shared" si="1"/>
        <v>3.958436289</v>
      </c>
      <c r="E20" s="10">
        <f t="shared" si="2"/>
        <v>0.02</v>
      </c>
    </row>
    <row r="21" ht="15.0" customHeight="1">
      <c r="A21" s="8">
        <v>16.0</v>
      </c>
      <c r="B21" s="8" t="str">
        <f>IF(MOD(A21,Assumptions!$B$21)=0,"Wall","")</f>
        <v/>
      </c>
      <c r="C21" s="13">
        <f>IF(B21="Wall",Assumptions!$B$22,1+Assumptions!$B$23)</f>
        <v>1.02</v>
      </c>
      <c r="D21" s="14">
        <f t="shared" si="1"/>
        <v>4.037605015</v>
      </c>
      <c r="E21" s="10">
        <f t="shared" si="2"/>
        <v>0.02</v>
      </c>
    </row>
    <row r="22" ht="15.0" customHeight="1">
      <c r="A22" s="8">
        <v>17.0</v>
      </c>
      <c r="B22" s="8" t="str">
        <f>IF(MOD(A22,Assumptions!$B$21)=0,"Wall","")</f>
        <v/>
      </c>
      <c r="C22" s="13">
        <f>IF(B22="Wall",Assumptions!$B$22,1+Assumptions!$B$23)</f>
        <v>1.02</v>
      </c>
      <c r="D22" s="14">
        <f t="shared" si="1"/>
        <v>4.118357115</v>
      </c>
      <c r="E22" s="10">
        <f t="shared" si="2"/>
        <v>0.02</v>
      </c>
    </row>
    <row r="23" ht="15.0" customHeight="1">
      <c r="A23" s="8">
        <v>18.0</v>
      </c>
      <c r="B23" s="8" t="str">
        <f>IF(MOD(A23,Assumptions!$B$21)=0,"Wall","")</f>
        <v/>
      </c>
      <c r="C23" s="13">
        <f>IF(B23="Wall",Assumptions!$B$22,1+Assumptions!$B$23)</f>
        <v>1.02</v>
      </c>
      <c r="D23" s="14">
        <f t="shared" si="1"/>
        <v>4.200724258</v>
      </c>
      <c r="E23" s="10">
        <f t="shared" si="2"/>
        <v>0.02</v>
      </c>
    </row>
    <row r="24" ht="15.0" customHeight="1">
      <c r="A24" s="8">
        <v>19.0</v>
      </c>
      <c r="B24" s="8" t="str">
        <f>IF(MOD(A24,Assumptions!$B$21)=0,"Wall","")</f>
        <v/>
      </c>
      <c r="C24" s="13">
        <f>IF(B24="Wall",Assumptions!$B$22,1+Assumptions!$B$23)</f>
        <v>1.02</v>
      </c>
      <c r="D24" s="14">
        <f t="shared" si="1"/>
        <v>4.284738743</v>
      </c>
      <c r="E24" s="10">
        <f t="shared" si="2"/>
        <v>0.02</v>
      </c>
    </row>
    <row r="25" ht="15.0" customHeight="1">
      <c r="A25" s="8">
        <v>20.0</v>
      </c>
      <c r="B25" s="8" t="str">
        <f>IF(MOD(A25,Assumptions!$B$21)=0,"Wall","")</f>
        <v>Wall</v>
      </c>
      <c r="C25" s="13">
        <f>IF(B25="Wall",Assumptions!$B$22,1+Assumptions!$B$23)</f>
        <v>3</v>
      </c>
      <c r="D25" s="14">
        <f t="shared" si="1"/>
        <v>12.85421623</v>
      </c>
      <c r="E25" s="10">
        <f t="shared" si="2"/>
        <v>2</v>
      </c>
    </row>
    <row r="26" ht="15.0" customHeight="1">
      <c r="A26" s="8">
        <v>21.0</v>
      </c>
      <c r="B26" s="8" t="str">
        <f>IF(MOD(A26,Assumptions!$B$21)=0,"Wall","")</f>
        <v/>
      </c>
      <c r="C26" s="13">
        <f>IF(B26="Wall",Assumptions!$B$22,1+Assumptions!$B$23)</f>
        <v>1.02</v>
      </c>
      <c r="D26" s="14">
        <f t="shared" si="1"/>
        <v>13.11130055</v>
      </c>
      <c r="E26" s="10">
        <f t="shared" si="2"/>
        <v>0.02</v>
      </c>
    </row>
    <row r="27" ht="15.0" customHeight="1">
      <c r="A27" s="8">
        <v>22.0</v>
      </c>
      <c r="B27" s="8" t="str">
        <f>IF(MOD(A27,Assumptions!$B$21)=0,"Wall","")</f>
        <v/>
      </c>
      <c r="C27" s="13">
        <f>IF(B27="Wall",Assumptions!$B$22,1+Assumptions!$B$23)</f>
        <v>1.02</v>
      </c>
      <c r="D27" s="14">
        <f t="shared" si="1"/>
        <v>13.37352656</v>
      </c>
      <c r="E27" s="10">
        <f t="shared" si="2"/>
        <v>0.02</v>
      </c>
    </row>
    <row r="28" ht="15.0" customHeight="1">
      <c r="A28" s="8">
        <v>23.0</v>
      </c>
      <c r="B28" s="8" t="str">
        <f>IF(MOD(A28,Assumptions!$B$21)=0,"Wall","")</f>
        <v/>
      </c>
      <c r="C28" s="13">
        <f>IF(B28="Wall",Assumptions!$B$22,1+Assumptions!$B$23)</f>
        <v>1.02</v>
      </c>
      <c r="D28" s="14">
        <f t="shared" si="1"/>
        <v>13.6409971</v>
      </c>
      <c r="E28" s="10">
        <f t="shared" si="2"/>
        <v>0.02</v>
      </c>
    </row>
    <row r="29" ht="15.0" customHeight="1">
      <c r="A29" s="8">
        <v>24.0</v>
      </c>
      <c r="B29" s="8" t="str">
        <f>IF(MOD(A29,Assumptions!$B$21)=0,"Wall","")</f>
        <v/>
      </c>
      <c r="C29" s="13">
        <f>IF(B29="Wall",Assumptions!$B$22,1+Assumptions!$B$23)</f>
        <v>1.02</v>
      </c>
      <c r="D29" s="14">
        <f t="shared" si="1"/>
        <v>13.91381704</v>
      </c>
      <c r="E29" s="10">
        <f t="shared" si="2"/>
        <v>0.02</v>
      </c>
    </row>
    <row r="30" ht="15.0" customHeight="1">
      <c r="A30" s="8">
        <v>25.0</v>
      </c>
      <c r="B30" s="8" t="str">
        <f>IF(MOD(A30,Assumptions!$B$21)=0,"Wall","")</f>
        <v/>
      </c>
      <c r="C30" s="13">
        <f>IF(B30="Wall",Assumptions!$B$22,1+Assumptions!$B$23)</f>
        <v>1.02</v>
      </c>
      <c r="D30" s="14">
        <f t="shared" si="1"/>
        <v>14.19209338</v>
      </c>
      <c r="E30" s="10">
        <f t="shared" si="2"/>
        <v>0.02</v>
      </c>
    </row>
    <row r="31" ht="15.0" customHeight="1">
      <c r="A31" s="8">
        <v>26.0</v>
      </c>
      <c r="B31" s="8" t="str">
        <f>IF(MOD(A31,Assumptions!$B$21)=0,"Wall","")</f>
        <v/>
      </c>
      <c r="C31" s="13">
        <f>IF(B31="Wall",Assumptions!$B$22,1+Assumptions!$B$23)</f>
        <v>1.02</v>
      </c>
      <c r="D31" s="14">
        <f t="shared" si="1"/>
        <v>14.47593525</v>
      </c>
      <c r="E31" s="10">
        <f t="shared" si="2"/>
        <v>0.02</v>
      </c>
    </row>
    <row r="32" ht="15.0" customHeight="1">
      <c r="A32" s="8">
        <v>27.0</v>
      </c>
      <c r="B32" s="8" t="str">
        <f>IF(MOD(A32,Assumptions!$B$21)=0,"Wall","")</f>
        <v/>
      </c>
      <c r="C32" s="13">
        <f>IF(B32="Wall",Assumptions!$B$22,1+Assumptions!$B$23)</f>
        <v>1.02</v>
      </c>
      <c r="D32" s="14">
        <f t="shared" si="1"/>
        <v>14.76545395</v>
      </c>
      <c r="E32" s="10">
        <f t="shared" si="2"/>
        <v>0.02</v>
      </c>
    </row>
    <row r="33" ht="15.0" customHeight="1">
      <c r="A33" s="8">
        <v>28.0</v>
      </c>
      <c r="B33" s="8" t="str">
        <f>IF(MOD(A33,Assumptions!$B$21)=0,"Wall","")</f>
        <v/>
      </c>
      <c r="C33" s="13">
        <f>IF(B33="Wall",Assumptions!$B$22,1+Assumptions!$B$23)</f>
        <v>1.02</v>
      </c>
      <c r="D33" s="14">
        <f t="shared" si="1"/>
        <v>15.06076303</v>
      </c>
      <c r="E33" s="10">
        <f t="shared" si="2"/>
        <v>0.02</v>
      </c>
    </row>
    <row r="34" ht="15.0" customHeight="1">
      <c r="A34" s="8">
        <v>29.0</v>
      </c>
      <c r="B34" s="8" t="str">
        <f>IF(MOD(A34,Assumptions!$B$21)=0,"Wall","")</f>
        <v/>
      </c>
      <c r="C34" s="13">
        <f>IF(B34="Wall",Assumptions!$B$22,1+Assumptions!$B$23)</f>
        <v>1.02</v>
      </c>
      <c r="D34" s="14">
        <f t="shared" si="1"/>
        <v>15.36197829</v>
      </c>
      <c r="E34" s="10">
        <f t="shared" si="2"/>
        <v>0.02</v>
      </c>
    </row>
    <row r="35" ht="15.0" customHeight="1">
      <c r="A35" s="8">
        <v>30.0</v>
      </c>
      <c r="B35" s="8" t="str">
        <f>IF(MOD(A35,Assumptions!$B$21)=0,"Wall","")</f>
        <v>Wall</v>
      </c>
      <c r="C35" s="13">
        <f>IF(B35="Wall",Assumptions!$B$22,1+Assumptions!$B$23)</f>
        <v>3</v>
      </c>
      <c r="D35" s="14">
        <f t="shared" si="1"/>
        <v>46.08593487</v>
      </c>
      <c r="E35" s="10">
        <f t="shared" si="2"/>
        <v>2</v>
      </c>
    </row>
    <row r="36" ht="15.0" customHeight="1">
      <c r="A36" s="8">
        <v>31.0</v>
      </c>
      <c r="B36" s="8" t="str">
        <f>IF(MOD(A36,Assumptions!$B$21)=0,"Wall","")</f>
        <v/>
      </c>
      <c r="C36" s="13">
        <f>IF(B36="Wall",Assumptions!$B$22,1+Assumptions!$B$23)</f>
        <v>1.02</v>
      </c>
      <c r="D36" s="14">
        <f t="shared" si="1"/>
        <v>47.00765357</v>
      </c>
      <c r="E36" s="10">
        <f t="shared" si="2"/>
        <v>0.02</v>
      </c>
    </row>
    <row r="37" ht="15.0" customHeight="1">
      <c r="A37" s="8">
        <v>32.0</v>
      </c>
      <c r="B37" s="8" t="str">
        <f>IF(MOD(A37,Assumptions!$B$21)=0,"Wall","")</f>
        <v/>
      </c>
      <c r="C37" s="13">
        <f>IF(B37="Wall",Assumptions!$B$22,1+Assumptions!$B$23)</f>
        <v>1.02</v>
      </c>
      <c r="D37" s="14">
        <f t="shared" si="1"/>
        <v>47.94780664</v>
      </c>
      <c r="E37" s="10">
        <f t="shared" si="2"/>
        <v>0.02</v>
      </c>
    </row>
    <row r="38" ht="15.0" customHeight="1">
      <c r="A38" s="8">
        <v>33.0</v>
      </c>
      <c r="B38" s="8" t="str">
        <f>IF(MOD(A38,Assumptions!$B$21)=0,"Wall","")</f>
        <v/>
      </c>
      <c r="C38" s="13">
        <f>IF(B38="Wall",Assumptions!$B$22,1+Assumptions!$B$23)</f>
        <v>1.02</v>
      </c>
      <c r="D38" s="14">
        <f t="shared" si="1"/>
        <v>48.90676277</v>
      </c>
      <c r="E38" s="10">
        <f t="shared" si="2"/>
        <v>0.02</v>
      </c>
    </row>
    <row r="39" ht="15.0" customHeight="1">
      <c r="A39" s="8">
        <v>34.0</v>
      </c>
      <c r="B39" s="8" t="str">
        <f>IF(MOD(A39,Assumptions!$B$21)=0,"Wall","")</f>
        <v/>
      </c>
      <c r="C39" s="13">
        <f>IF(B39="Wall",Assumptions!$B$22,1+Assumptions!$B$23)</f>
        <v>1.02</v>
      </c>
      <c r="D39" s="14">
        <f t="shared" si="1"/>
        <v>49.88489803</v>
      </c>
      <c r="E39" s="10">
        <f t="shared" si="2"/>
        <v>0.02</v>
      </c>
    </row>
    <row r="40" ht="15.0" customHeight="1">
      <c r="A40" s="8">
        <v>35.0</v>
      </c>
      <c r="B40" s="8" t="str">
        <f>IF(MOD(A40,Assumptions!$B$21)=0,"Wall","")</f>
        <v/>
      </c>
      <c r="C40" s="13">
        <f>IF(B40="Wall",Assumptions!$B$22,1+Assumptions!$B$23)</f>
        <v>1.02</v>
      </c>
      <c r="D40" s="14">
        <f t="shared" si="1"/>
        <v>50.88259599</v>
      </c>
      <c r="E40" s="10">
        <f t="shared" si="2"/>
        <v>0.02</v>
      </c>
    </row>
    <row r="41" ht="15.0" customHeight="1">
      <c r="A41" s="8">
        <v>36.0</v>
      </c>
      <c r="B41" s="8" t="str">
        <f>IF(MOD(A41,Assumptions!$B$21)=0,"Wall","")</f>
        <v/>
      </c>
      <c r="C41" s="13">
        <f>IF(B41="Wall",Assumptions!$B$22,1+Assumptions!$B$23)</f>
        <v>1.02</v>
      </c>
      <c r="D41" s="14">
        <f t="shared" si="1"/>
        <v>51.90024791</v>
      </c>
      <c r="E41" s="10">
        <f t="shared" si="2"/>
        <v>0.02</v>
      </c>
    </row>
    <row r="42" ht="15.0" customHeight="1">
      <c r="A42" s="8">
        <v>37.0</v>
      </c>
      <c r="B42" s="8" t="str">
        <f>IF(MOD(A42,Assumptions!$B$21)=0,"Wall","")</f>
        <v/>
      </c>
      <c r="C42" s="13">
        <f>IF(B42="Wall",Assumptions!$B$22,1+Assumptions!$B$23)</f>
        <v>1.02</v>
      </c>
      <c r="D42" s="14">
        <f t="shared" si="1"/>
        <v>52.93825286</v>
      </c>
      <c r="E42" s="10">
        <f t="shared" si="2"/>
        <v>0.02</v>
      </c>
    </row>
    <row r="43" ht="15.0" customHeight="1">
      <c r="A43" s="8">
        <v>38.0</v>
      </c>
      <c r="B43" s="8" t="str">
        <f>IF(MOD(A43,Assumptions!$B$21)=0,"Wall","")</f>
        <v/>
      </c>
      <c r="C43" s="13">
        <f>IF(B43="Wall",Assumptions!$B$22,1+Assumptions!$B$23)</f>
        <v>1.02</v>
      </c>
      <c r="D43" s="14">
        <f t="shared" si="1"/>
        <v>53.99701792</v>
      </c>
      <c r="E43" s="10">
        <f t="shared" si="2"/>
        <v>0.02</v>
      </c>
    </row>
    <row r="44" ht="15.0" customHeight="1">
      <c r="A44" s="8">
        <v>39.0</v>
      </c>
      <c r="B44" s="8" t="str">
        <f>IF(MOD(A44,Assumptions!$B$21)=0,"Wall","")</f>
        <v/>
      </c>
      <c r="C44" s="13">
        <f>IF(B44="Wall",Assumptions!$B$22,1+Assumptions!$B$23)</f>
        <v>1.02</v>
      </c>
      <c r="D44" s="14">
        <f t="shared" si="1"/>
        <v>55.07695828</v>
      </c>
      <c r="E44" s="10">
        <f t="shared" si="2"/>
        <v>0.02</v>
      </c>
    </row>
    <row r="45" ht="15.0" customHeight="1">
      <c r="A45" s="8">
        <v>40.0</v>
      </c>
      <c r="B45" s="8" t="str">
        <f>IF(MOD(A45,Assumptions!$B$21)=0,"Wall","")</f>
        <v>Wall</v>
      </c>
      <c r="C45" s="13">
        <f>IF(B45="Wall",Assumptions!$B$22,1+Assumptions!$B$23)</f>
        <v>3</v>
      </c>
      <c r="D45" s="14">
        <f t="shared" si="1"/>
        <v>165.2308748</v>
      </c>
      <c r="E45" s="10">
        <f t="shared" si="2"/>
        <v>2</v>
      </c>
    </row>
    <row r="46" ht="15.0" customHeight="1">
      <c r="A46" s="8">
        <v>41.0</v>
      </c>
      <c r="B46" s="8" t="str">
        <f>IF(MOD(A46,Assumptions!$B$21)=0,"Wall","")</f>
        <v/>
      </c>
      <c r="C46" s="13">
        <f>IF(B46="Wall",Assumptions!$B$22,1+Assumptions!$B$23)</f>
        <v>1.02</v>
      </c>
      <c r="D46" s="14">
        <f t="shared" si="1"/>
        <v>168.5354923</v>
      </c>
      <c r="E46" s="10">
        <f t="shared" si="2"/>
        <v>0.02</v>
      </c>
    </row>
    <row r="47" ht="15.0" customHeight="1">
      <c r="A47" s="8">
        <v>42.0</v>
      </c>
      <c r="B47" s="8" t="str">
        <f>IF(MOD(A47,Assumptions!$B$21)=0,"Wall","")</f>
        <v/>
      </c>
      <c r="C47" s="13">
        <f>IF(B47="Wall",Assumptions!$B$22,1+Assumptions!$B$23)</f>
        <v>1.02</v>
      </c>
      <c r="D47" s="14">
        <f t="shared" si="1"/>
        <v>171.9062022</v>
      </c>
      <c r="E47" s="10">
        <f t="shared" si="2"/>
        <v>0.02</v>
      </c>
    </row>
    <row r="48" ht="15.0" customHeight="1">
      <c r="A48" s="8">
        <v>43.0</v>
      </c>
      <c r="B48" s="8" t="str">
        <f>IF(MOD(A48,Assumptions!$B$21)=0,"Wall","")</f>
        <v/>
      </c>
      <c r="C48" s="13">
        <f>IF(B48="Wall",Assumptions!$B$22,1+Assumptions!$B$23)</f>
        <v>1.02</v>
      </c>
      <c r="D48" s="14">
        <f t="shared" si="1"/>
        <v>175.3443262</v>
      </c>
      <c r="E48" s="10">
        <f t="shared" si="2"/>
        <v>0.02</v>
      </c>
    </row>
    <row r="49" ht="15.0" customHeight="1">
      <c r="A49" s="8">
        <v>44.0</v>
      </c>
      <c r="B49" s="8" t="str">
        <f>IF(MOD(A49,Assumptions!$B$21)=0,"Wall","")</f>
        <v/>
      </c>
      <c r="C49" s="13">
        <f>IF(B49="Wall",Assumptions!$B$22,1+Assumptions!$B$23)</f>
        <v>1.02</v>
      </c>
      <c r="D49" s="14">
        <f t="shared" si="1"/>
        <v>178.8512128</v>
      </c>
      <c r="E49" s="10">
        <f t="shared" si="2"/>
        <v>0.02</v>
      </c>
    </row>
    <row r="50" ht="15.0" customHeight="1">
      <c r="A50" s="8">
        <v>45.0</v>
      </c>
      <c r="B50" s="8" t="str">
        <f>IF(MOD(A50,Assumptions!$B$21)=0,"Wall","")</f>
        <v/>
      </c>
      <c r="C50" s="13">
        <f>IF(B50="Wall",Assumptions!$B$22,1+Assumptions!$B$23)</f>
        <v>1.02</v>
      </c>
      <c r="D50" s="14">
        <f t="shared" si="1"/>
        <v>182.428237</v>
      </c>
      <c r="E50" s="10">
        <f t="shared" si="2"/>
        <v>0.02</v>
      </c>
    </row>
    <row r="51" ht="15.0" customHeight="1">
      <c r="A51" s="8">
        <v>46.0</v>
      </c>
      <c r="B51" s="8" t="str">
        <f>IF(MOD(A51,Assumptions!$B$21)=0,"Wall","")</f>
        <v/>
      </c>
      <c r="C51" s="13">
        <f>IF(B51="Wall",Assumptions!$B$22,1+Assumptions!$B$23)</f>
        <v>1.02</v>
      </c>
      <c r="D51" s="14">
        <f t="shared" si="1"/>
        <v>186.0768017</v>
      </c>
      <c r="E51" s="10">
        <f t="shared" si="2"/>
        <v>0.02</v>
      </c>
    </row>
    <row r="52" ht="15.0" customHeight="1">
      <c r="A52" s="8">
        <v>47.0</v>
      </c>
      <c r="B52" s="8" t="str">
        <f>IF(MOD(A52,Assumptions!$B$21)=0,"Wall","")</f>
        <v/>
      </c>
      <c r="C52" s="13">
        <f>IF(B52="Wall",Assumptions!$B$22,1+Assumptions!$B$23)</f>
        <v>1.02</v>
      </c>
      <c r="D52" s="14">
        <f t="shared" si="1"/>
        <v>189.7983378</v>
      </c>
      <c r="E52" s="10">
        <f t="shared" si="2"/>
        <v>0.02</v>
      </c>
    </row>
    <row r="53" ht="15.0" customHeight="1">
      <c r="A53" s="8">
        <v>48.0</v>
      </c>
      <c r="B53" s="8" t="str">
        <f>IF(MOD(A53,Assumptions!$B$21)=0,"Wall","")</f>
        <v/>
      </c>
      <c r="C53" s="13">
        <f>IF(B53="Wall",Assumptions!$B$22,1+Assumptions!$B$23)</f>
        <v>1.02</v>
      </c>
      <c r="D53" s="14">
        <f t="shared" si="1"/>
        <v>193.5943045</v>
      </c>
      <c r="E53" s="10">
        <f t="shared" si="2"/>
        <v>0.02</v>
      </c>
    </row>
    <row r="54" ht="15.0" customHeight="1">
      <c r="A54" s="8">
        <v>49.0</v>
      </c>
      <c r="B54" s="8" t="str">
        <f>IF(MOD(A54,Assumptions!$B$21)=0,"Wall","")</f>
        <v/>
      </c>
      <c r="C54" s="13">
        <f>IF(B54="Wall",Assumptions!$B$22,1+Assumptions!$B$23)</f>
        <v>1.02</v>
      </c>
      <c r="D54" s="14">
        <f t="shared" si="1"/>
        <v>197.4661906</v>
      </c>
      <c r="E54" s="10">
        <f t="shared" si="2"/>
        <v>0.02</v>
      </c>
    </row>
    <row r="55" ht="15.0" customHeight="1">
      <c r="A55" s="8">
        <v>50.0</v>
      </c>
      <c r="B55" s="8" t="str">
        <f>IF(MOD(A55,Assumptions!$B$21)=0,"Wall","")</f>
        <v>Wall</v>
      </c>
      <c r="C55" s="13">
        <f>IF(B55="Wall",Assumptions!$B$22,1+Assumptions!$B$23)</f>
        <v>3</v>
      </c>
      <c r="D55" s="14">
        <f t="shared" si="1"/>
        <v>592.3985719</v>
      </c>
      <c r="E55" s="10">
        <f t="shared" si="2"/>
        <v>2</v>
      </c>
    </row>
    <row r="56" ht="15.0" customHeight="1">
      <c r="A56" s="8">
        <v>51.0</v>
      </c>
      <c r="B56" s="8" t="str">
        <f>IF(MOD(A56,Assumptions!$B$21)=0,"Wall","")</f>
        <v/>
      </c>
      <c r="C56" s="13">
        <f>IF(B56="Wall",Assumptions!$B$22,1+Assumptions!$B$23)</f>
        <v>1.02</v>
      </c>
      <c r="D56" s="14">
        <f t="shared" si="1"/>
        <v>604.2465433</v>
      </c>
      <c r="E56" s="10">
        <f t="shared" si="2"/>
        <v>0.02</v>
      </c>
    </row>
    <row r="57" ht="15.0" customHeight="1">
      <c r="A57" s="8">
        <v>52.0</v>
      </c>
      <c r="B57" s="8" t="str">
        <f>IF(MOD(A57,Assumptions!$B$21)=0,"Wall","")</f>
        <v/>
      </c>
      <c r="C57" s="13">
        <f>IF(B57="Wall",Assumptions!$B$22,1+Assumptions!$B$23)</f>
        <v>1.02</v>
      </c>
      <c r="D57" s="14">
        <f t="shared" si="1"/>
        <v>616.3314742</v>
      </c>
      <c r="E57" s="10">
        <f t="shared" si="2"/>
        <v>0.02</v>
      </c>
    </row>
    <row r="58" ht="15.0" customHeight="1">
      <c r="A58" s="8">
        <v>53.0</v>
      </c>
      <c r="B58" s="8" t="str">
        <f>IF(MOD(A58,Assumptions!$B$21)=0,"Wall","")</f>
        <v/>
      </c>
      <c r="C58" s="13">
        <f>IF(B58="Wall",Assumptions!$B$22,1+Assumptions!$B$23)</f>
        <v>1.02</v>
      </c>
      <c r="D58" s="14">
        <f t="shared" si="1"/>
        <v>628.6581037</v>
      </c>
      <c r="E58" s="10">
        <f t="shared" si="2"/>
        <v>0.02</v>
      </c>
    </row>
    <row r="59" ht="15.0" customHeight="1">
      <c r="A59" s="8">
        <v>54.0</v>
      </c>
      <c r="B59" s="8" t="str">
        <f>IF(MOD(A59,Assumptions!$B$21)=0,"Wall","")</f>
        <v/>
      </c>
      <c r="C59" s="13">
        <f>IF(B59="Wall",Assumptions!$B$22,1+Assumptions!$B$23)</f>
        <v>1.02</v>
      </c>
      <c r="D59" s="14">
        <f t="shared" si="1"/>
        <v>641.2312657</v>
      </c>
      <c r="E59" s="10">
        <f t="shared" si="2"/>
        <v>0.02</v>
      </c>
    </row>
    <row r="60" ht="15.0" customHeight="1">
      <c r="A60" s="8">
        <v>55.0</v>
      </c>
      <c r="B60" s="8" t="str">
        <f>IF(MOD(A60,Assumptions!$B$21)=0,"Wall","")</f>
        <v/>
      </c>
      <c r="C60" s="13">
        <f>IF(B60="Wall",Assumptions!$B$22,1+Assumptions!$B$23)</f>
        <v>1.02</v>
      </c>
      <c r="D60" s="14">
        <f t="shared" si="1"/>
        <v>654.0558911</v>
      </c>
      <c r="E60" s="10">
        <f t="shared" si="2"/>
        <v>0.02</v>
      </c>
    </row>
    <row r="61" ht="15.0" customHeight="1">
      <c r="A61" s="8">
        <v>56.0</v>
      </c>
      <c r="B61" s="8" t="str">
        <f>IF(MOD(A61,Assumptions!$B$21)=0,"Wall","")</f>
        <v/>
      </c>
      <c r="C61" s="13">
        <f>IF(B61="Wall",Assumptions!$B$22,1+Assumptions!$B$23)</f>
        <v>1.02</v>
      </c>
      <c r="D61" s="14">
        <f t="shared" si="1"/>
        <v>667.1370089</v>
      </c>
      <c r="E61" s="10">
        <f t="shared" si="2"/>
        <v>0.02</v>
      </c>
    </row>
    <row r="62" ht="15.0" customHeight="1">
      <c r="A62" s="8">
        <v>57.0</v>
      </c>
      <c r="B62" s="8" t="str">
        <f>IF(MOD(A62,Assumptions!$B$21)=0,"Wall","")</f>
        <v/>
      </c>
      <c r="C62" s="13">
        <f>IF(B62="Wall",Assumptions!$B$22,1+Assumptions!$B$23)</f>
        <v>1.02</v>
      </c>
      <c r="D62" s="14">
        <f t="shared" si="1"/>
        <v>680.4797491</v>
      </c>
      <c r="E62" s="10">
        <f t="shared" si="2"/>
        <v>0.02</v>
      </c>
    </row>
    <row r="63" ht="15.0" customHeight="1">
      <c r="A63" s="8">
        <v>58.0</v>
      </c>
      <c r="B63" s="8" t="str">
        <f>IF(MOD(A63,Assumptions!$B$21)=0,"Wall","")</f>
        <v/>
      </c>
      <c r="C63" s="13">
        <f>IF(B63="Wall",Assumptions!$B$22,1+Assumptions!$B$23)</f>
        <v>1.02</v>
      </c>
      <c r="D63" s="14">
        <f t="shared" si="1"/>
        <v>694.089344</v>
      </c>
      <c r="E63" s="10">
        <f t="shared" si="2"/>
        <v>0.02</v>
      </c>
    </row>
    <row r="64" ht="15.0" customHeight="1">
      <c r="A64" s="8">
        <v>59.0</v>
      </c>
      <c r="B64" s="8" t="str">
        <f>IF(MOD(A64,Assumptions!$B$21)=0,"Wall","")</f>
        <v/>
      </c>
      <c r="C64" s="13">
        <f>IF(B64="Wall",Assumptions!$B$22,1+Assumptions!$B$23)</f>
        <v>1.02</v>
      </c>
      <c r="D64" s="14">
        <f t="shared" si="1"/>
        <v>707.9711309</v>
      </c>
      <c r="E64" s="10">
        <f t="shared" si="2"/>
        <v>0.02</v>
      </c>
    </row>
    <row r="65" ht="15.0" customHeight="1">
      <c r="A65" s="8">
        <v>60.0</v>
      </c>
      <c r="B65" s="8" t="str">
        <f>IF(MOD(A65,Assumptions!$B$21)=0,"Wall","")</f>
        <v>Wall</v>
      </c>
      <c r="C65" s="13">
        <f>IF(B65="Wall",Assumptions!$B$22,1+Assumptions!$B$23)</f>
        <v>3</v>
      </c>
      <c r="D65" s="14">
        <f t="shared" si="1"/>
        <v>2123.913393</v>
      </c>
      <c r="E65" s="10">
        <f t="shared" si="2"/>
        <v>2</v>
      </c>
    </row>
    <row r="66" ht="15.0" customHeight="1">
      <c r="A66" s="8">
        <v>61.0</v>
      </c>
      <c r="B66" s="8" t="str">
        <f>IF(MOD(A66,Assumptions!$B$21)=0,"Wall","")</f>
        <v/>
      </c>
      <c r="C66" s="13">
        <f>IF(B66="Wall",Assumptions!$B$22,1+Assumptions!$B$23)</f>
        <v>1.02</v>
      </c>
      <c r="D66" s="14">
        <f t="shared" si="1"/>
        <v>2166.391661</v>
      </c>
      <c r="E66" s="10">
        <f t="shared" si="2"/>
        <v>0.02</v>
      </c>
    </row>
    <row r="67" ht="15.0" customHeight="1">
      <c r="A67" s="8">
        <v>62.0</v>
      </c>
      <c r="B67" s="8" t="str">
        <f>IF(MOD(A67,Assumptions!$B$21)=0,"Wall","")</f>
        <v/>
      </c>
      <c r="C67" s="13">
        <f>IF(B67="Wall",Assumptions!$B$22,1+Assumptions!$B$23)</f>
        <v>1.02</v>
      </c>
      <c r="D67" s="14">
        <f t="shared" si="1"/>
        <v>2209.719494</v>
      </c>
      <c r="E67" s="10">
        <f t="shared" si="2"/>
        <v>0.02</v>
      </c>
    </row>
    <row r="68" ht="15.0" customHeight="1">
      <c r="A68" s="8">
        <v>63.0</v>
      </c>
      <c r="B68" s="8" t="str">
        <f>IF(MOD(A68,Assumptions!$B$21)=0,"Wall","")</f>
        <v/>
      </c>
      <c r="C68" s="13">
        <f>IF(B68="Wall",Assumptions!$B$22,1+Assumptions!$B$23)</f>
        <v>1.02</v>
      </c>
      <c r="D68" s="14">
        <f t="shared" si="1"/>
        <v>2253.913884</v>
      </c>
      <c r="E68" s="10">
        <f t="shared" si="2"/>
        <v>0.02</v>
      </c>
    </row>
    <row r="69" ht="15.0" customHeight="1">
      <c r="A69" s="8">
        <v>64.0</v>
      </c>
      <c r="B69" s="8" t="str">
        <f>IF(MOD(A69,Assumptions!$B$21)=0,"Wall","")</f>
        <v/>
      </c>
      <c r="C69" s="13">
        <f>IF(B69="Wall",Assumptions!$B$22,1+Assumptions!$B$23)</f>
        <v>1.02</v>
      </c>
      <c r="D69" s="14">
        <f t="shared" si="1"/>
        <v>2298.992161</v>
      </c>
      <c r="E69" s="10">
        <f t="shared" si="2"/>
        <v>0.02</v>
      </c>
    </row>
    <row r="70" ht="15.0" customHeight="1">
      <c r="A70" s="8">
        <v>65.0</v>
      </c>
      <c r="B70" s="8" t="str">
        <f>IF(MOD(A70,Assumptions!$B$21)=0,"Wall","")</f>
        <v/>
      </c>
      <c r="C70" s="13">
        <f>IF(B70="Wall",Assumptions!$B$22,1+Assumptions!$B$23)</f>
        <v>1.02</v>
      </c>
      <c r="D70" s="14">
        <f t="shared" si="1"/>
        <v>2344.972005</v>
      </c>
      <c r="E70" s="10">
        <f t="shared" si="2"/>
        <v>0.02</v>
      </c>
    </row>
    <row r="71" ht="15.0" customHeight="1">
      <c r="A71" s="8">
        <v>66.0</v>
      </c>
      <c r="B71" s="8" t="str">
        <f>IF(MOD(A71,Assumptions!$B$21)=0,"Wall","")</f>
        <v/>
      </c>
      <c r="C71" s="13">
        <f>IF(B71="Wall",Assumptions!$B$22,1+Assumptions!$B$23)</f>
        <v>1.02</v>
      </c>
      <c r="D71" s="14">
        <f t="shared" si="1"/>
        <v>2391.871445</v>
      </c>
      <c r="E71" s="10">
        <f t="shared" si="2"/>
        <v>0.02</v>
      </c>
    </row>
    <row r="72" ht="15.0" customHeight="1">
      <c r="A72" s="8">
        <v>67.0</v>
      </c>
      <c r="B72" s="8" t="str">
        <f>IF(MOD(A72,Assumptions!$B$21)=0,"Wall","")</f>
        <v/>
      </c>
      <c r="C72" s="13">
        <f>IF(B72="Wall",Assumptions!$B$22,1+Assumptions!$B$23)</f>
        <v>1.02</v>
      </c>
      <c r="D72" s="14">
        <f t="shared" si="1"/>
        <v>2439.708874</v>
      </c>
      <c r="E72" s="10">
        <f t="shared" si="2"/>
        <v>0.02</v>
      </c>
    </row>
    <row r="73" ht="15.0" customHeight="1">
      <c r="A73" s="8">
        <v>68.0</v>
      </c>
      <c r="B73" s="8" t="str">
        <f>IF(MOD(A73,Assumptions!$B$21)=0,"Wall","")</f>
        <v/>
      </c>
      <c r="C73" s="13">
        <f>IF(B73="Wall",Assumptions!$B$22,1+Assumptions!$B$23)</f>
        <v>1.02</v>
      </c>
      <c r="D73" s="14">
        <f t="shared" si="1"/>
        <v>2488.503051</v>
      </c>
      <c r="E73" s="10">
        <f t="shared" si="2"/>
        <v>0.02</v>
      </c>
    </row>
    <row r="74" ht="15.0" customHeight="1">
      <c r="A74" s="8">
        <v>69.0</v>
      </c>
      <c r="B74" s="8" t="str">
        <f>IF(MOD(A74,Assumptions!$B$21)=0,"Wall","")</f>
        <v/>
      </c>
      <c r="C74" s="13">
        <f>IF(B74="Wall",Assumptions!$B$22,1+Assumptions!$B$23)</f>
        <v>1.02</v>
      </c>
      <c r="D74" s="14">
        <f t="shared" si="1"/>
        <v>2538.273112</v>
      </c>
      <c r="E74" s="10">
        <f t="shared" si="2"/>
        <v>0.02</v>
      </c>
    </row>
    <row r="75" ht="15.0" customHeight="1">
      <c r="A75" s="8">
        <v>70.0</v>
      </c>
      <c r="B75" s="8" t="str">
        <f>IF(MOD(A75,Assumptions!$B$21)=0,"Wall","")</f>
        <v>Wall</v>
      </c>
      <c r="C75" s="13">
        <f>IF(B75="Wall",Assumptions!$B$22,1+Assumptions!$B$23)</f>
        <v>3</v>
      </c>
      <c r="D75" s="14">
        <f t="shared" si="1"/>
        <v>7614.819336</v>
      </c>
      <c r="E75" s="10">
        <f t="shared" si="2"/>
        <v>2</v>
      </c>
    </row>
    <row r="76" ht="15.0" customHeight="1">
      <c r="A76" s="8">
        <v>71.0</v>
      </c>
      <c r="B76" s="8" t="str">
        <f>IF(MOD(A76,Assumptions!$B$21)=0,"Wall","")</f>
        <v/>
      </c>
      <c r="C76" s="13">
        <f>IF(B76="Wall",Assumptions!$B$22,1+Assumptions!$B$23)</f>
        <v>1.02</v>
      </c>
      <c r="D76" s="14">
        <f t="shared" si="1"/>
        <v>7767.115723</v>
      </c>
      <c r="E76" s="10">
        <f t="shared" si="2"/>
        <v>0.02</v>
      </c>
    </row>
    <row r="77" ht="15.0" customHeight="1">
      <c r="A77" s="8">
        <v>72.0</v>
      </c>
      <c r="B77" s="8" t="str">
        <f>IF(MOD(A77,Assumptions!$B$21)=0,"Wall","")</f>
        <v/>
      </c>
      <c r="C77" s="13">
        <f>IF(B77="Wall",Assumptions!$B$22,1+Assumptions!$B$23)</f>
        <v>1.02</v>
      </c>
      <c r="D77" s="14">
        <f t="shared" si="1"/>
        <v>7922.458038</v>
      </c>
      <c r="E77" s="10">
        <f t="shared" si="2"/>
        <v>0.02</v>
      </c>
    </row>
    <row r="78" ht="15.0" customHeight="1">
      <c r="A78" s="8">
        <v>73.0</v>
      </c>
      <c r="B78" s="8" t="str">
        <f>IF(MOD(A78,Assumptions!$B$21)=0,"Wall","")</f>
        <v/>
      </c>
      <c r="C78" s="13">
        <f>IF(B78="Wall",Assumptions!$B$22,1+Assumptions!$B$23)</f>
        <v>1.02</v>
      </c>
      <c r="D78" s="14">
        <f t="shared" si="1"/>
        <v>8080.907198</v>
      </c>
      <c r="E78" s="10">
        <f t="shared" si="2"/>
        <v>0.02</v>
      </c>
    </row>
    <row r="79" ht="15.0" customHeight="1">
      <c r="A79" s="8">
        <v>74.0</v>
      </c>
      <c r="B79" s="8" t="str">
        <f>IF(MOD(A79,Assumptions!$B$21)=0,"Wall","")</f>
        <v/>
      </c>
      <c r="C79" s="13">
        <f>IF(B79="Wall",Assumptions!$B$22,1+Assumptions!$B$23)</f>
        <v>1.02</v>
      </c>
      <c r="D79" s="14">
        <f t="shared" si="1"/>
        <v>8242.525342</v>
      </c>
      <c r="E79" s="10">
        <f t="shared" si="2"/>
        <v>0.02</v>
      </c>
    </row>
    <row r="80" ht="15.0" customHeight="1">
      <c r="A80" s="8">
        <v>75.0</v>
      </c>
      <c r="B80" s="8" t="str">
        <f>IF(MOD(A80,Assumptions!$B$21)=0,"Wall","")</f>
        <v/>
      </c>
      <c r="C80" s="13">
        <f>IF(B80="Wall",Assumptions!$B$22,1+Assumptions!$B$23)</f>
        <v>1.02</v>
      </c>
      <c r="D80" s="14">
        <f t="shared" si="1"/>
        <v>8407.375849</v>
      </c>
      <c r="E80" s="10">
        <f t="shared" si="2"/>
        <v>0.02</v>
      </c>
    </row>
    <row r="81" ht="15.0" customHeight="1">
      <c r="A81" s="8">
        <v>76.0</v>
      </c>
      <c r="B81" s="8" t="str">
        <f>IF(MOD(A81,Assumptions!$B$21)=0,"Wall","")</f>
        <v/>
      </c>
      <c r="C81" s="13">
        <f>IF(B81="Wall",Assumptions!$B$22,1+Assumptions!$B$23)</f>
        <v>1.02</v>
      </c>
      <c r="D81" s="14">
        <f t="shared" si="1"/>
        <v>8575.523366</v>
      </c>
      <c r="E81" s="10">
        <f t="shared" si="2"/>
        <v>0.02</v>
      </c>
    </row>
    <row r="82" ht="15.0" customHeight="1">
      <c r="A82" s="8">
        <v>77.0</v>
      </c>
      <c r="B82" s="8" t="str">
        <f>IF(MOD(A82,Assumptions!$B$21)=0,"Wall","")</f>
        <v/>
      </c>
      <c r="C82" s="13">
        <f>IF(B82="Wall",Assumptions!$B$22,1+Assumptions!$B$23)</f>
        <v>1.02</v>
      </c>
      <c r="D82" s="14">
        <f t="shared" si="1"/>
        <v>8747.033833</v>
      </c>
      <c r="E82" s="10">
        <f t="shared" si="2"/>
        <v>0.02</v>
      </c>
    </row>
    <row r="83" ht="15.0" customHeight="1">
      <c r="A83" s="8">
        <v>78.0</v>
      </c>
      <c r="B83" s="8" t="str">
        <f>IF(MOD(A83,Assumptions!$B$21)=0,"Wall","")</f>
        <v/>
      </c>
      <c r="C83" s="13">
        <f>IF(B83="Wall",Assumptions!$B$22,1+Assumptions!$B$23)</f>
        <v>1.02</v>
      </c>
      <c r="D83" s="14">
        <f t="shared" si="1"/>
        <v>8921.97451</v>
      </c>
      <c r="E83" s="10">
        <f t="shared" si="2"/>
        <v>0.02</v>
      </c>
    </row>
    <row r="84" ht="15.0" customHeight="1">
      <c r="A84" s="8">
        <v>79.0</v>
      </c>
      <c r="B84" s="8" t="str">
        <f>IF(MOD(A84,Assumptions!$B$21)=0,"Wall","")</f>
        <v/>
      </c>
      <c r="C84" s="13">
        <f>IF(B84="Wall",Assumptions!$B$22,1+Assumptions!$B$23)</f>
        <v>1.02</v>
      </c>
      <c r="D84" s="14">
        <f t="shared" si="1"/>
        <v>9100.414</v>
      </c>
      <c r="E84" s="10">
        <f t="shared" si="2"/>
        <v>0.02</v>
      </c>
    </row>
    <row r="85" ht="15.0" customHeight="1">
      <c r="A85" s="8">
        <v>80.0</v>
      </c>
      <c r="B85" s="8" t="str">
        <f>IF(MOD(A85,Assumptions!$B$21)=0,"Wall","")</f>
        <v>Wall</v>
      </c>
      <c r="C85" s="13">
        <f>IF(B85="Wall",Assumptions!$B$22,1+Assumptions!$B$23)</f>
        <v>3</v>
      </c>
      <c r="D85" s="14">
        <f t="shared" si="1"/>
        <v>27301.242</v>
      </c>
      <c r="E85" s="10">
        <f t="shared" si="2"/>
        <v>2</v>
      </c>
    </row>
    <row r="86" ht="15.0" customHeight="1">
      <c r="A86" s="8">
        <v>81.0</v>
      </c>
      <c r="B86" s="8" t="str">
        <f>IF(MOD(A86,Assumptions!$B$21)=0,"Wall","")</f>
        <v/>
      </c>
      <c r="C86" s="13">
        <f>IF(B86="Wall",Assumptions!$B$22,1+Assumptions!$B$23)</f>
        <v>1.02</v>
      </c>
      <c r="D86" s="14">
        <f t="shared" si="1"/>
        <v>27847.26684</v>
      </c>
      <c r="E86" s="10">
        <f t="shared" si="2"/>
        <v>0.02</v>
      </c>
    </row>
    <row r="87" ht="15.0" customHeight="1">
      <c r="A87" s="8">
        <v>82.0</v>
      </c>
      <c r="B87" s="8" t="str">
        <f>IF(MOD(A87,Assumptions!$B$21)=0,"Wall","")</f>
        <v/>
      </c>
      <c r="C87" s="13">
        <f>IF(B87="Wall",Assumptions!$B$22,1+Assumptions!$B$23)</f>
        <v>1.02</v>
      </c>
      <c r="D87" s="14">
        <f t="shared" si="1"/>
        <v>28404.21218</v>
      </c>
      <c r="E87" s="10">
        <f t="shared" si="2"/>
        <v>0.02</v>
      </c>
    </row>
    <row r="88" ht="15.0" customHeight="1">
      <c r="A88" s="8">
        <v>83.0</v>
      </c>
      <c r="B88" s="8" t="str">
        <f>IF(MOD(A88,Assumptions!$B$21)=0,"Wall","")</f>
        <v/>
      </c>
      <c r="C88" s="13">
        <f>IF(B88="Wall",Assumptions!$B$22,1+Assumptions!$B$23)</f>
        <v>1.02</v>
      </c>
      <c r="D88" s="14">
        <f t="shared" si="1"/>
        <v>28972.29642</v>
      </c>
      <c r="E88" s="10">
        <f t="shared" si="2"/>
        <v>0.02</v>
      </c>
    </row>
    <row r="89" ht="15.0" customHeight="1">
      <c r="A89" s="8">
        <v>84.0</v>
      </c>
      <c r="B89" s="8" t="str">
        <f>IF(MOD(A89,Assumptions!$B$21)=0,"Wall","")</f>
        <v/>
      </c>
      <c r="C89" s="13">
        <f>IF(B89="Wall",Assumptions!$B$22,1+Assumptions!$B$23)</f>
        <v>1.02</v>
      </c>
      <c r="D89" s="14">
        <f t="shared" si="1"/>
        <v>29551.74235</v>
      </c>
      <c r="E89" s="10">
        <f t="shared" si="2"/>
        <v>0.02</v>
      </c>
    </row>
    <row r="90" ht="15.0" customHeight="1">
      <c r="A90" s="8">
        <v>85.0</v>
      </c>
      <c r="B90" s="8" t="str">
        <f>IF(MOD(A90,Assumptions!$B$21)=0,"Wall","")</f>
        <v/>
      </c>
      <c r="C90" s="13">
        <f>IF(B90="Wall",Assumptions!$B$22,1+Assumptions!$B$23)</f>
        <v>1.02</v>
      </c>
      <c r="D90" s="14">
        <f t="shared" si="1"/>
        <v>30142.7772</v>
      </c>
      <c r="E90" s="10">
        <f t="shared" si="2"/>
        <v>0.02</v>
      </c>
    </row>
    <row r="91" ht="15.0" customHeight="1">
      <c r="A91" s="8">
        <v>86.0</v>
      </c>
      <c r="B91" s="8" t="str">
        <f>IF(MOD(A91,Assumptions!$B$21)=0,"Wall","")</f>
        <v/>
      </c>
      <c r="C91" s="13">
        <f>IF(B91="Wall",Assumptions!$B$22,1+Assumptions!$B$23)</f>
        <v>1.02</v>
      </c>
      <c r="D91" s="14">
        <f t="shared" si="1"/>
        <v>30745.63274</v>
      </c>
      <c r="E91" s="10">
        <f t="shared" si="2"/>
        <v>0.02</v>
      </c>
    </row>
    <row r="92" ht="15.0" customHeight="1">
      <c r="A92" s="8">
        <v>87.0</v>
      </c>
      <c r="B92" s="8" t="str">
        <f>IF(MOD(A92,Assumptions!$B$21)=0,"Wall","")</f>
        <v/>
      </c>
      <c r="C92" s="13">
        <f>IF(B92="Wall",Assumptions!$B$22,1+Assumptions!$B$23)</f>
        <v>1.02</v>
      </c>
      <c r="D92" s="14">
        <f t="shared" si="1"/>
        <v>31360.5454</v>
      </c>
      <c r="E92" s="10">
        <f t="shared" si="2"/>
        <v>0.02</v>
      </c>
    </row>
    <row r="93" ht="15.0" customHeight="1">
      <c r="A93" s="8">
        <v>88.0</v>
      </c>
      <c r="B93" s="8" t="str">
        <f>IF(MOD(A93,Assumptions!$B$21)=0,"Wall","")</f>
        <v/>
      </c>
      <c r="C93" s="13">
        <f>IF(B93="Wall",Assumptions!$B$22,1+Assumptions!$B$23)</f>
        <v>1.02</v>
      </c>
      <c r="D93" s="14">
        <f t="shared" si="1"/>
        <v>31987.7563</v>
      </c>
      <c r="E93" s="10">
        <f t="shared" si="2"/>
        <v>0.02</v>
      </c>
    </row>
    <row r="94" ht="15.0" customHeight="1">
      <c r="A94" s="8">
        <v>89.0</v>
      </c>
      <c r="B94" s="8" t="str">
        <f>IF(MOD(A94,Assumptions!$B$21)=0,"Wall","")</f>
        <v/>
      </c>
      <c r="C94" s="13">
        <f>IF(B94="Wall",Assumptions!$B$22,1+Assumptions!$B$23)</f>
        <v>1.02</v>
      </c>
      <c r="D94" s="14">
        <f t="shared" si="1"/>
        <v>32627.51143</v>
      </c>
      <c r="E94" s="10">
        <f t="shared" si="2"/>
        <v>0.02</v>
      </c>
    </row>
    <row r="95" ht="15.0" customHeight="1">
      <c r="A95" s="8">
        <v>90.0</v>
      </c>
      <c r="B95" s="8" t="str">
        <f>IF(MOD(A95,Assumptions!$B$21)=0,"Wall","")</f>
        <v>Wall</v>
      </c>
      <c r="C95" s="13">
        <f>IF(B95="Wall",Assumptions!$B$22,1+Assumptions!$B$23)</f>
        <v>3</v>
      </c>
      <c r="D95" s="14">
        <f t="shared" si="1"/>
        <v>97882.53429</v>
      </c>
      <c r="E95" s="10">
        <f t="shared" si="2"/>
        <v>2</v>
      </c>
    </row>
    <row r="96" ht="15.0" customHeight="1">
      <c r="A96" s="8">
        <v>91.0</v>
      </c>
      <c r="B96" s="8" t="str">
        <f>IF(MOD(A96,Assumptions!$B$21)=0,"Wall","")</f>
        <v/>
      </c>
      <c r="C96" s="13">
        <f>IF(B96="Wall",Assumptions!$B$22,1+Assumptions!$B$23)</f>
        <v>1.02</v>
      </c>
      <c r="D96" s="14">
        <f t="shared" si="1"/>
        <v>99840.18497</v>
      </c>
      <c r="E96" s="10">
        <f t="shared" si="2"/>
        <v>0.02</v>
      </c>
    </row>
    <row r="97" ht="15.0" customHeight="1">
      <c r="A97" s="8">
        <v>92.0</v>
      </c>
      <c r="B97" s="8" t="str">
        <f>IF(MOD(A97,Assumptions!$B$21)=0,"Wall","")</f>
        <v/>
      </c>
      <c r="C97" s="13">
        <f>IF(B97="Wall",Assumptions!$B$22,1+Assumptions!$B$23)</f>
        <v>1.02</v>
      </c>
      <c r="D97" s="14">
        <f t="shared" si="1"/>
        <v>101836.9887</v>
      </c>
      <c r="E97" s="10">
        <f t="shared" si="2"/>
        <v>0.02</v>
      </c>
    </row>
    <row r="98" ht="15.0" customHeight="1">
      <c r="A98" s="8">
        <v>93.0</v>
      </c>
      <c r="B98" s="8" t="str">
        <f>IF(MOD(A98,Assumptions!$B$21)=0,"Wall","")</f>
        <v/>
      </c>
      <c r="C98" s="13">
        <f>IF(B98="Wall",Assumptions!$B$22,1+Assumptions!$B$23)</f>
        <v>1.02</v>
      </c>
      <c r="D98" s="14">
        <f t="shared" si="1"/>
        <v>103873.7284</v>
      </c>
      <c r="E98" s="10">
        <f t="shared" si="2"/>
        <v>0.02</v>
      </c>
    </row>
    <row r="99" ht="15.0" customHeight="1">
      <c r="A99" s="8">
        <v>94.0</v>
      </c>
      <c r="B99" s="8" t="str">
        <f>IF(MOD(A99,Assumptions!$B$21)=0,"Wall","")</f>
        <v/>
      </c>
      <c r="C99" s="13">
        <f>IF(B99="Wall",Assumptions!$B$22,1+Assumptions!$B$23)</f>
        <v>1.02</v>
      </c>
      <c r="D99" s="14">
        <f t="shared" si="1"/>
        <v>105951.203</v>
      </c>
      <c r="E99" s="10">
        <f t="shared" si="2"/>
        <v>0.02</v>
      </c>
    </row>
    <row r="100" ht="15.0" customHeight="1">
      <c r="A100" s="8">
        <v>95.0</v>
      </c>
      <c r="B100" s="8" t="str">
        <f>IF(MOD(A100,Assumptions!$B$21)=0,"Wall","")</f>
        <v/>
      </c>
      <c r="C100" s="13">
        <f>IF(B100="Wall",Assumptions!$B$22,1+Assumptions!$B$23)</f>
        <v>1.02</v>
      </c>
      <c r="D100" s="14">
        <f t="shared" si="1"/>
        <v>108070.2271</v>
      </c>
      <c r="E100" s="10">
        <f t="shared" si="2"/>
        <v>0.02</v>
      </c>
    </row>
    <row r="101" ht="15.0" customHeight="1">
      <c r="A101" s="8">
        <v>96.0</v>
      </c>
      <c r="B101" s="8" t="str">
        <f>IF(MOD(A101,Assumptions!$B$21)=0,"Wall","")</f>
        <v/>
      </c>
      <c r="C101" s="13">
        <f>IF(B101="Wall",Assumptions!$B$22,1+Assumptions!$B$23)</f>
        <v>1.02</v>
      </c>
      <c r="D101" s="14">
        <f t="shared" si="1"/>
        <v>110231.6316</v>
      </c>
      <c r="E101" s="10">
        <f t="shared" si="2"/>
        <v>0.02</v>
      </c>
    </row>
    <row r="102" ht="15.0" customHeight="1">
      <c r="A102" s="8">
        <v>97.0</v>
      </c>
      <c r="B102" s="8" t="str">
        <f>IF(MOD(A102,Assumptions!$B$21)=0,"Wall","")</f>
        <v/>
      </c>
      <c r="C102" s="13">
        <f>IF(B102="Wall",Assumptions!$B$22,1+Assumptions!$B$23)</f>
        <v>1.02</v>
      </c>
      <c r="D102" s="14">
        <f t="shared" si="1"/>
        <v>112436.2642</v>
      </c>
      <c r="E102" s="10">
        <f t="shared" si="2"/>
        <v>0.02</v>
      </c>
    </row>
    <row r="103" ht="15.0" customHeight="1">
      <c r="A103" s="8">
        <v>98.0</v>
      </c>
      <c r="B103" s="8" t="str">
        <f>IF(MOD(A103,Assumptions!$B$21)=0,"Wall","")</f>
        <v/>
      </c>
      <c r="C103" s="13">
        <f>IF(B103="Wall",Assumptions!$B$22,1+Assumptions!$B$23)</f>
        <v>1.02</v>
      </c>
      <c r="D103" s="14">
        <f t="shared" si="1"/>
        <v>114684.9895</v>
      </c>
      <c r="E103" s="10">
        <f t="shared" si="2"/>
        <v>0.02</v>
      </c>
    </row>
    <row r="104" ht="15.0" customHeight="1">
      <c r="A104" s="8">
        <v>99.0</v>
      </c>
      <c r="B104" s="8" t="str">
        <f>IF(MOD(A104,Assumptions!$B$21)=0,"Wall","")</f>
        <v/>
      </c>
      <c r="C104" s="13">
        <f>IF(B104="Wall",Assumptions!$B$22,1+Assumptions!$B$23)</f>
        <v>1.02</v>
      </c>
      <c r="D104" s="14">
        <f t="shared" si="1"/>
        <v>116978.6893</v>
      </c>
      <c r="E104" s="10">
        <f t="shared" si="2"/>
        <v>0.02</v>
      </c>
    </row>
    <row r="105" ht="15.0" customHeight="1">
      <c r="A105" s="8">
        <v>100.0</v>
      </c>
      <c r="B105" s="8" t="str">
        <f>IF(MOD(A105,Assumptions!$B$21)=0,"Wall","")</f>
        <v>Wall</v>
      </c>
      <c r="C105" s="13">
        <f>IF(B105="Wall",Assumptions!$B$22,1+Assumptions!$B$23)</f>
        <v>3</v>
      </c>
      <c r="D105" s="14">
        <f t="shared" si="1"/>
        <v>350936.068</v>
      </c>
      <c r="E105" s="10">
        <f t="shared" si="2"/>
        <v>2</v>
      </c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2">
    <mergeCell ref="A1:E1"/>
    <mergeCell ref="A2:E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28.0"/>
    <col customWidth="1" min="4" max="4" width="18.0"/>
    <col customWidth="1" min="5" max="5" width="24.0"/>
    <col customWidth="1" min="6" max="6" width="20.0"/>
    <col customWidth="1" min="7" max="7" width="24.0"/>
    <col customWidth="1" min="8" max="26" width="8.71"/>
  </cols>
  <sheetData>
    <row r="1" ht="17.25" customHeight="1">
      <c r="A1" s="1" t="s">
        <v>104</v>
      </c>
    </row>
    <row r="2" ht="15.0" customHeight="1">
      <c r="A2" s="11" t="s">
        <v>105</v>
      </c>
    </row>
    <row r="3" ht="15.0" customHeight="1"/>
    <row r="4">
      <c r="A4" s="2"/>
      <c r="B4" s="2"/>
      <c r="C4" s="2"/>
      <c r="D4" s="2"/>
      <c r="E4" s="2"/>
      <c r="F4" s="2"/>
      <c r="G4" s="2"/>
    </row>
    <row r="5" ht="15.0" customHeight="1">
      <c r="A5" s="3" t="s">
        <v>63</v>
      </c>
      <c r="B5" s="3" t="s">
        <v>106</v>
      </c>
      <c r="C5" s="3" t="s">
        <v>107</v>
      </c>
      <c r="D5" s="3" t="s">
        <v>108</v>
      </c>
      <c r="E5" s="3" t="s">
        <v>109</v>
      </c>
      <c r="F5" s="3" t="s">
        <v>110</v>
      </c>
      <c r="G5" s="3" t="s">
        <v>111</v>
      </c>
    </row>
    <row r="6" ht="15.0" customHeight="1">
      <c r="A6" s="8">
        <v>1.0</v>
      </c>
      <c r="B6" s="9">
        <f>'Floor Scaling'!D6</f>
        <v>3.18</v>
      </c>
      <c r="C6" s="14">
        <f>'Wall Breakpoints'!D6</f>
        <v>1.02</v>
      </c>
      <c r="D6" s="9">
        <f>Assumptions!$B$10*C6</f>
        <v>30.6</v>
      </c>
      <c r="E6" s="9">
        <f>D6*Assumptions!$B$24</f>
        <v>9.18</v>
      </c>
      <c r="F6" s="9">
        <f>B6*(1-Assumptions!$B$25)</f>
        <v>2.862</v>
      </c>
      <c r="G6" s="8" t="str">
        <f t="shared" ref="G6:G105" si="1">IF(E6&gt;F6,"Yes","No — needs active play")</f>
        <v>Yes</v>
      </c>
    </row>
    <row r="7" ht="15.0" customHeight="1">
      <c r="A7" s="8">
        <v>2.0</v>
      </c>
      <c r="B7" s="9">
        <f>'Floor Scaling'!D7</f>
        <v>3.3708</v>
      </c>
      <c r="C7" s="14">
        <f>'Wall Breakpoints'!D7</f>
        <v>1.0404</v>
      </c>
      <c r="D7" s="9">
        <f>Assumptions!$B$10*C7</f>
        <v>31.212</v>
      </c>
      <c r="E7" s="9">
        <f>D7*Assumptions!$B$24</f>
        <v>9.3636</v>
      </c>
      <c r="F7" s="9">
        <f>B7*(1-Assumptions!$B$25)</f>
        <v>3.03372</v>
      </c>
      <c r="G7" s="8" t="str">
        <f t="shared" si="1"/>
        <v>Yes</v>
      </c>
    </row>
    <row r="8" ht="15.0" customHeight="1">
      <c r="A8" s="8">
        <v>3.0</v>
      </c>
      <c r="B8" s="9">
        <f>'Floor Scaling'!D8</f>
        <v>3.573048</v>
      </c>
      <c r="C8" s="14">
        <f>'Wall Breakpoints'!D8</f>
        <v>1.061208</v>
      </c>
      <c r="D8" s="9">
        <f>Assumptions!$B$10*C8</f>
        <v>31.83624</v>
      </c>
      <c r="E8" s="9">
        <f>D8*Assumptions!$B$24</f>
        <v>9.550872</v>
      </c>
      <c r="F8" s="9">
        <f>B8*(1-Assumptions!$B$25)</f>
        <v>3.2157432</v>
      </c>
      <c r="G8" s="8" t="str">
        <f t="shared" si="1"/>
        <v>Yes</v>
      </c>
    </row>
    <row r="9" ht="15.0" customHeight="1">
      <c r="A9" s="8">
        <v>4.0</v>
      </c>
      <c r="B9" s="9">
        <f>'Floor Scaling'!D9</f>
        <v>3.78743088</v>
      </c>
      <c r="C9" s="14">
        <f>'Wall Breakpoints'!D9</f>
        <v>1.08243216</v>
      </c>
      <c r="D9" s="9">
        <f>Assumptions!$B$10*C9</f>
        <v>32.4729648</v>
      </c>
      <c r="E9" s="9">
        <f>D9*Assumptions!$B$24</f>
        <v>9.74188944</v>
      </c>
      <c r="F9" s="9">
        <f>B9*(1-Assumptions!$B$25)</f>
        <v>3.408687792</v>
      </c>
      <c r="G9" s="8" t="str">
        <f t="shared" si="1"/>
        <v>Yes</v>
      </c>
    </row>
    <row r="10" ht="15.0" customHeight="1">
      <c r="A10" s="8">
        <v>5.0</v>
      </c>
      <c r="B10" s="9">
        <f>'Floor Scaling'!D10</f>
        <v>4.014676733</v>
      </c>
      <c r="C10" s="14">
        <f>'Wall Breakpoints'!D10</f>
        <v>1.104080803</v>
      </c>
      <c r="D10" s="9">
        <f>Assumptions!$B$10*C10</f>
        <v>33.1224241</v>
      </c>
      <c r="E10" s="9">
        <f>D10*Assumptions!$B$24</f>
        <v>9.936727229</v>
      </c>
      <c r="F10" s="9">
        <f>B10*(1-Assumptions!$B$25)</f>
        <v>3.61320906</v>
      </c>
      <c r="G10" s="8" t="str">
        <f t="shared" si="1"/>
        <v>Yes</v>
      </c>
    </row>
    <row r="11" ht="15.0" customHeight="1">
      <c r="A11" s="8">
        <v>6.0</v>
      </c>
      <c r="B11" s="9">
        <f>'Floor Scaling'!D11</f>
        <v>4.255557337</v>
      </c>
      <c r="C11" s="14">
        <f>'Wall Breakpoints'!D11</f>
        <v>1.126162419</v>
      </c>
      <c r="D11" s="9">
        <f>Assumptions!$B$10*C11</f>
        <v>33.78487258</v>
      </c>
      <c r="E11" s="9">
        <f>D11*Assumptions!$B$24</f>
        <v>10.13546177</v>
      </c>
      <c r="F11" s="9">
        <f>B11*(1-Assumptions!$B$25)</f>
        <v>3.830001603</v>
      </c>
      <c r="G11" s="8" t="str">
        <f t="shared" si="1"/>
        <v>Yes</v>
      </c>
    </row>
    <row r="12" ht="15.0" customHeight="1">
      <c r="A12" s="8">
        <v>7.0</v>
      </c>
      <c r="B12" s="9">
        <f>'Floor Scaling'!D12</f>
        <v>4.510890777</v>
      </c>
      <c r="C12" s="14">
        <f>'Wall Breakpoints'!D12</f>
        <v>1.148685668</v>
      </c>
      <c r="D12" s="9">
        <f>Assumptions!$B$10*C12</f>
        <v>34.46057003</v>
      </c>
      <c r="E12" s="9">
        <f>D12*Assumptions!$B$24</f>
        <v>10.33817101</v>
      </c>
      <c r="F12" s="9">
        <f>B12*(1-Assumptions!$B$25)</f>
        <v>4.059801699</v>
      </c>
      <c r="G12" s="8" t="str">
        <f t="shared" si="1"/>
        <v>Yes</v>
      </c>
    </row>
    <row r="13" ht="15.0" customHeight="1">
      <c r="A13" s="8">
        <v>8.0</v>
      </c>
      <c r="B13" s="9">
        <f>'Floor Scaling'!D13</f>
        <v>4.781544224</v>
      </c>
      <c r="C13" s="14">
        <f>'Wall Breakpoints'!D13</f>
        <v>1.171659381</v>
      </c>
      <c r="D13" s="9">
        <f>Assumptions!$B$10*C13</f>
        <v>35.14978143</v>
      </c>
      <c r="E13" s="9">
        <f>D13*Assumptions!$B$24</f>
        <v>10.54493443</v>
      </c>
      <c r="F13" s="9">
        <f>B13*(1-Assumptions!$B$25)</f>
        <v>4.303389801</v>
      </c>
      <c r="G13" s="8" t="str">
        <f t="shared" si="1"/>
        <v>Yes</v>
      </c>
    </row>
    <row r="14" ht="15.0" customHeight="1">
      <c r="A14" s="8">
        <v>9.0</v>
      </c>
      <c r="B14" s="9">
        <f>'Floor Scaling'!D14</f>
        <v>7.602655316</v>
      </c>
      <c r="C14" s="14">
        <f>'Wall Breakpoints'!D14</f>
        <v>1.195092569</v>
      </c>
      <c r="D14" s="9">
        <f>Assumptions!$B$10*C14</f>
        <v>35.85277706</v>
      </c>
      <c r="E14" s="9">
        <f>D14*Assumptions!$B$24</f>
        <v>10.75583312</v>
      </c>
      <c r="F14" s="9">
        <f>B14*(1-Assumptions!$B$25)</f>
        <v>6.842389784</v>
      </c>
      <c r="G14" s="8" t="str">
        <f t="shared" si="1"/>
        <v>Yes</v>
      </c>
    </row>
    <row r="15" ht="15.0" customHeight="1">
      <c r="A15" s="8">
        <v>10.0</v>
      </c>
      <c r="B15" s="9">
        <f>'Floor Scaling'!D15</f>
        <v>5.37254309</v>
      </c>
      <c r="C15" s="14">
        <f>'Wall Breakpoints'!D15</f>
        <v>3.585277706</v>
      </c>
      <c r="D15" s="9">
        <f>Assumptions!$B$10*C15</f>
        <v>107.5583312</v>
      </c>
      <c r="E15" s="9">
        <f>D15*Assumptions!$B$24</f>
        <v>32.26749935</v>
      </c>
      <c r="F15" s="9">
        <f>B15*(1-Assumptions!$B$25)</f>
        <v>4.835288781</v>
      </c>
      <c r="G15" s="8" t="str">
        <f t="shared" si="1"/>
        <v>Yes</v>
      </c>
    </row>
    <row r="16" ht="15.0" customHeight="1">
      <c r="A16" s="8">
        <v>11.0</v>
      </c>
      <c r="B16" s="9">
        <f>'Floor Scaling'!D16</f>
        <v>5.694895675</v>
      </c>
      <c r="C16" s="14">
        <f>'Wall Breakpoints'!D16</f>
        <v>3.65698326</v>
      </c>
      <c r="D16" s="9">
        <f>Assumptions!$B$10*C16</f>
        <v>109.7094978</v>
      </c>
      <c r="E16" s="9">
        <f>D16*Assumptions!$B$24</f>
        <v>32.91284934</v>
      </c>
      <c r="F16" s="9">
        <f>B16*(1-Assumptions!$B$25)</f>
        <v>5.125406108</v>
      </c>
      <c r="G16" s="8" t="str">
        <f t="shared" si="1"/>
        <v>Yes</v>
      </c>
    </row>
    <row r="17" ht="15.0" customHeight="1">
      <c r="A17" s="8">
        <v>12.0</v>
      </c>
      <c r="B17" s="9">
        <f>'Floor Scaling'!D17</f>
        <v>6.036589416</v>
      </c>
      <c r="C17" s="14">
        <f>'Wall Breakpoints'!D17</f>
        <v>3.730122925</v>
      </c>
      <c r="D17" s="9">
        <f>Assumptions!$B$10*C17</f>
        <v>111.9036878</v>
      </c>
      <c r="E17" s="9">
        <f>D17*Assumptions!$B$24</f>
        <v>33.57110633</v>
      </c>
      <c r="F17" s="9">
        <f>B17*(1-Assumptions!$B$25)</f>
        <v>5.432930474</v>
      </c>
      <c r="G17" s="8" t="str">
        <f t="shared" si="1"/>
        <v>Yes</v>
      </c>
    </row>
    <row r="18" ht="15.0" customHeight="1">
      <c r="A18" s="8">
        <v>13.0</v>
      </c>
      <c r="B18" s="9">
        <f>'Floor Scaling'!D18</f>
        <v>6.39878478</v>
      </c>
      <c r="C18" s="14">
        <f>'Wall Breakpoints'!D18</f>
        <v>3.804725384</v>
      </c>
      <c r="D18" s="9">
        <f>Assumptions!$B$10*C18</f>
        <v>114.1417615</v>
      </c>
      <c r="E18" s="9">
        <f>D18*Assumptions!$B$24</f>
        <v>34.24252845</v>
      </c>
      <c r="F18" s="9">
        <f>B18*(1-Assumptions!$B$25)</f>
        <v>5.758906302</v>
      </c>
      <c r="G18" s="8" t="str">
        <f t="shared" si="1"/>
        <v>Yes</v>
      </c>
    </row>
    <row r="19" ht="15.0" customHeight="1">
      <c r="A19" s="8">
        <v>14.0</v>
      </c>
      <c r="B19" s="9">
        <f>'Floor Scaling'!D19</f>
        <v>6.782711867</v>
      </c>
      <c r="C19" s="14">
        <f>'Wall Breakpoints'!D19</f>
        <v>3.880819891</v>
      </c>
      <c r="D19" s="9">
        <f>Assumptions!$B$10*C19</f>
        <v>116.4245967</v>
      </c>
      <c r="E19" s="9">
        <f>D19*Assumptions!$B$24</f>
        <v>34.92737902</v>
      </c>
      <c r="F19" s="9">
        <f>B19*(1-Assumptions!$B$25)</f>
        <v>6.104440681</v>
      </c>
      <c r="G19" s="8" t="str">
        <f t="shared" si="1"/>
        <v>Yes</v>
      </c>
    </row>
    <row r="20" ht="15.0" customHeight="1">
      <c r="A20" s="8">
        <v>15.0</v>
      </c>
      <c r="B20" s="9">
        <f>'Floor Scaling'!D20</f>
        <v>7.189674579</v>
      </c>
      <c r="C20" s="14">
        <f>'Wall Breakpoints'!D20</f>
        <v>3.958436289</v>
      </c>
      <c r="D20" s="9">
        <f>Assumptions!$B$10*C20</f>
        <v>118.7530887</v>
      </c>
      <c r="E20" s="9">
        <f>D20*Assumptions!$B$24</f>
        <v>35.6259266</v>
      </c>
      <c r="F20" s="9">
        <f>B20*(1-Assumptions!$B$25)</f>
        <v>6.470707121</v>
      </c>
      <c r="G20" s="8" t="str">
        <f t="shared" si="1"/>
        <v>Yes</v>
      </c>
    </row>
    <row r="21" ht="15.0" customHeight="1">
      <c r="A21" s="8">
        <v>16.0</v>
      </c>
      <c r="B21" s="9">
        <f>'Floor Scaling'!D21</f>
        <v>7.621055054</v>
      </c>
      <c r="C21" s="14">
        <f>'Wall Breakpoints'!D21</f>
        <v>4.037605015</v>
      </c>
      <c r="D21" s="9">
        <f>Assumptions!$B$10*C21</f>
        <v>121.1281504</v>
      </c>
      <c r="E21" s="9">
        <f>D21*Assumptions!$B$24</f>
        <v>36.33844513</v>
      </c>
      <c r="F21" s="9">
        <f>B21*(1-Assumptions!$B$25)</f>
        <v>6.858949549</v>
      </c>
      <c r="G21" s="8" t="str">
        <f t="shared" si="1"/>
        <v>Yes</v>
      </c>
    </row>
    <row r="22" ht="15.0" customHeight="1">
      <c r="A22" s="8">
        <v>17.0</v>
      </c>
      <c r="B22" s="9">
        <f>'Floor Scaling'!D22</f>
        <v>8.078318357</v>
      </c>
      <c r="C22" s="14">
        <f>'Wall Breakpoints'!D22</f>
        <v>4.118357115</v>
      </c>
      <c r="D22" s="9">
        <f>Assumptions!$B$10*C22</f>
        <v>123.5507135</v>
      </c>
      <c r="E22" s="9">
        <f>D22*Assumptions!$B$24</f>
        <v>37.06521404</v>
      </c>
      <c r="F22" s="9">
        <f>B22*(1-Assumptions!$B$25)</f>
        <v>7.270486522</v>
      </c>
      <c r="G22" s="8" t="str">
        <f t="shared" si="1"/>
        <v>Yes</v>
      </c>
    </row>
    <row r="23" ht="15.0" customHeight="1">
      <c r="A23" s="8">
        <v>18.0</v>
      </c>
      <c r="B23" s="9">
        <f>'Floor Scaling'!D23</f>
        <v>8.563017459</v>
      </c>
      <c r="C23" s="14">
        <f>'Wall Breakpoints'!D23</f>
        <v>4.200724258</v>
      </c>
      <c r="D23" s="9">
        <f>Assumptions!$B$10*C23</f>
        <v>126.0217277</v>
      </c>
      <c r="E23" s="9">
        <f>D23*Assumptions!$B$24</f>
        <v>37.80651832</v>
      </c>
      <c r="F23" s="9">
        <f>B23*(1-Assumptions!$B$25)</f>
        <v>7.706715713</v>
      </c>
      <c r="G23" s="8" t="str">
        <f t="shared" si="1"/>
        <v>Yes</v>
      </c>
    </row>
    <row r="24" ht="15.0" customHeight="1">
      <c r="A24" s="8">
        <v>19.0</v>
      </c>
      <c r="B24" s="9">
        <f>'Floor Scaling'!D24</f>
        <v>13.61519776</v>
      </c>
      <c r="C24" s="14">
        <f>'Wall Breakpoints'!D24</f>
        <v>4.284738743</v>
      </c>
      <c r="D24" s="9">
        <f>Assumptions!$B$10*C24</f>
        <v>128.5421623</v>
      </c>
      <c r="E24" s="9">
        <f>D24*Assumptions!$B$24</f>
        <v>38.56264868</v>
      </c>
      <c r="F24" s="9">
        <f>B24*(1-Assumptions!$B$25)</f>
        <v>12.25367798</v>
      </c>
      <c r="G24" s="8" t="str">
        <f t="shared" si="1"/>
        <v>Yes</v>
      </c>
    </row>
    <row r="25" ht="15.0" customHeight="1">
      <c r="A25" s="8">
        <v>20.0</v>
      </c>
      <c r="B25" s="9">
        <f>'Floor Scaling'!D25</f>
        <v>9.621406417</v>
      </c>
      <c r="C25" s="14">
        <f>'Wall Breakpoints'!D25</f>
        <v>12.85421623</v>
      </c>
      <c r="D25" s="9">
        <f>Assumptions!$B$10*C25</f>
        <v>385.6264868</v>
      </c>
      <c r="E25" s="9">
        <f>D25*Assumptions!$B$24</f>
        <v>115.6879461</v>
      </c>
      <c r="F25" s="9">
        <f>B25*(1-Assumptions!$B$25)</f>
        <v>8.659265775</v>
      </c>
      <c r="G25" s="8" t="str">
        <f t="shared" si="1"/>
        <v>Yes</v>
      </c>
    </row>
    <row r="26" ht="15.0" customHeight="1">
      <c r="A26" s="8">
        <v>21.0</v>
      </c>
      <c r="B26" s="9">
        <f>'Floor Scaling'!D26</f>
        <v>10.1986908</v>
      </c>
      <c r="C26" s="14">
        <f>'Wall Breakpoints'!D26</f>
        <v>13.11130055</v>
      </c>
      <c r="D26" s="9">
        <f>Assumptions!$B$10*C26</f>
        <v>393.3390166</v>
      </c>
      <c r="E26" s="9">
        <f>D26*Assumptions!$B$24</f>
        <v>118.001705</v>
      </c>
      <c r="F26" s="9">
        <f>B26*(1-Assumptions!$B$25)</f>
        <v>9.178821721</v>
      </c>
      <c r="G26" s="8" t="str">
        <f t="shared" si="1"/>
        <v>Yes</v>
      </c>
    </row>
    <row r="27" ht="15.0" customHeight="1">
      <c r="A27" s="8">
        <v>22.0</v>
      </c>
      <c r="B27" s="9">
        <f>'Floor Scaling'!D27</f>
        <v>10.81061225</v>
      </c>
      <c r="C27" s="14">
        <f>'Wall Breakpoints'!D27</f>
        <v>13.37352656</v>
      </c>
      <c r="D27" s="9">
        <f>Assumptions!$B$10*C27</f>
        <v>401.2057969</v>
      </c>
      <c r="E27" s="9">
        <f>D27*Assumptions!$B$24</f>
        <v>120.3617391</v>
      </c>
      <c r="F27" s="9">
        <f>B27*(1-Assumptions!$B$25)</f>
        <v>9.729551025</v>
      </c>
      <c r="G27" s="8" t="str">
        <f t="shared" si="1"/>
        <v>Yes</v>
      </c>
    </row>
    <row r="28" ht="15.0" customHeight="1">
      <c r="A28" s="8">
        <v>23.0</v>
      </c>
      <c r="B28" s="9">
        <f>'Floor Scaling'!D28</f>
        <v>11.45924898</v>
      </c>
      <c r="C28" s="14">
        <f>'Wall Breakpoints'!D28</f>
        <v>13.6409971</v>
      </c>
      <c r="D28" s="9">
        <f>Assumptions!$B$10*C28</f>
        <v>409.2299129</v>
      </c>
      <c r="E28" s="9">
        <f>D28*Assumptions!$B$24</f>
        <v>122.7689739</v>
      </c>
      <c r="F28" s="9">
        <f>B28*(1-Assumptions!$B$25)</f>
        <v>10.31332409</v>
      </c>
      <c r="G28" s="8" t="str">
        <f t="shared" si="1"/>
        <v>Yes</v>
      </c>
    </row>
    <row r="29" ht="15.0" customHeight="1">
      <c r="A29" s="8">
        <v>24.0</v>
      </c>
      <c r="B29" s="9">
        <f>'Floor Scaling'!D29</f>
        <v>12.14680392</v>
      </c>
      <c r="C29" s="14">
        <f>'Wall Breakpoints'!D29</f>
        <v>13.91381704</v>
      </c>
      <c r="D29" s="9">
        <f>Assumptions!$B$10*C29</f>
        <v>417.4145111</v>
      </c>
      <c r="E29" s="9">
        <f>D29*Assumptions!$B$24</f>
        <v>125.2243533</v>
      </c>
      <c r="F29" s="9">
        <f>B29*(1-Assumptions!$B$25)</f>
        <v>10.93212353</v>
      </c>
      <c r="G29" s="8" t="str">
        <f t="shared" si="1"/>
        <v>Yes</v>
      </c>
    </row>
    <row r="30" ht="15.0" customHeight="1">
      <c r="A30" s="8">
        <v>25.0</v>
      </c>
      <c r="B30" s="9">
        <f>'Floor Scaling'!D30</f>
        <v>12.87561216</v>
      </c>
      <c r="C30" s="14">
        <f>'Wall Breakpoints'!D30</f>
        <v>14.19209338</v>
      </c>
      <c r="D30" s="9">
        <f>Assumptions!$B$10*C30</f>
        <v>425.7628013</v>
      </c>
      <c r="E30" s="9">
        <f>D30*Assumptions!$B$24</f>
        <v>127.7288404</v>
      </c>
      <c r="F30" s="9">
        <f>B30*(1-Assumptions!$B$25)</f>
        <v>11.58805094</v>
      </c>
      <c r="G30" s="8" t="str">
        <f t="shared" si="1"/>
        <v>Yes</v>
      </c>
    </row>
    <row r="31" ht="15.0" customHeight="1">
      <c r="A31" s="8">
        <v>26.0</v>
      </c>
      <c r="B31" s="9">
        <f>'Floor Scaling'!D31</f>
        <v>13.64814889</v>
      </c>
      <c r="C31" s="14">
        <f>'Wall Breakpoints'!D31</f>
        <v>14.47593525</v>
      </c>
      <c r="D31" s="9">
        <f>Assumptions!$B$10*C31</f>
        <v>434.2780574</v>
      </c>
      <c r="E31" s="9">
        <f>D31*Assumptions!$B$24</f>
        <v>130.2834172</v>
      </c>
      <c r="F31" s="9">
        <f>B31*(1-Assumptions!$B$25)</f>
        <v>12.283334</v>
      </c>
      <c r="G31" s="8" t="str">
        <f t="shared" si="1"/>
        <v>Yes</v>
      </c>
    </row>
    <row r="32" ht="15.0" customHeight="1">
      <c r="A32" s="8">
        <v>27.0</v>
      </c>
      <c r="B32" s="9">
        <f>'Floor Scaling'!D32</f>
        <v>14.46703782</v>
      </c>
      <c r="C32" s="14">
        <f>'Wall Breakpoints'!D32</f>
        <v>14.76545395</v>
      </c>
      <c r="D32" s="9">
        <f>Assumptions!$B$10*C32</f>
        <v>442.9636185</v>
      </c>
      <c r="E32" s="9">
        <f>D32*Assumptions!$B$24</f>
        <v>132.8890856</v>
      </c>
      <c r="F32" s="9">
        <f>B32*(1-Assumptions!$B$25)</f>
        <v>13.02033404</v>
      </c>
      <c r="G32" s="8" t="str">
        <f t="shared" si="1"/>
        <v>Yes</v>
      </c>
    </row>
    <row r="33" ht="15.0" customHeight="1">
      <c r="A33" s="8">
        <v>28.0</v>
      </c>
      <c r="B33" s="9">
        <f>'Floor Scaling'!D33</f>
        <v>15.33506009</v>
      </c>
      <c r="C33" s="14">
        <f>'Wall Breakpoints'!D33</f>
        <v>15.06076303</v>
      </c>
      <c r="D33" s="9">
        <f>Assumptions!$B$10*C33</f>
        <v>451.8228909</v>
      </c>
      <c r="E33" s="9">
        <f>D33*Assumptions!$B$24</f>
        <v>135.5468673</v>
      </c>
      <c r="F33" s="9">
        <f>B33*(1-Assumptions!$B$25)</f>
        <v>13.80155408</v>
      </c>
      <c r="G33" s="8" t="str">
        <f t="shared" si="1"/>
        <v>Yes</v>
      </c>
    </row>
    <row r="34" ht="15.0" customHeight="1">
      <c r="A34" s="8">
        <v>29.0</v>
      </c>
      <c r="B34" s="9">
        <f>'Floor Scaling'!D34</f>
        <v>24.38274555</v>
      </c>
      <c r="C34" s="14">
        <f>'Wall Breakpoints'!D34</f>
        <v>15.36197829</v>
      </c>
      <c r="D34" s="9">
        <f>Assumptions!$B$10*C34</f>
        <v>460.8593487</v>
      </c>
      <c r="E34" s="9">
        <f>D34*Assumptions!$B$24</f>
        <v>138.2578046</v>
      </c>
      <c r="F34" s="9">
        <f>B34*(1-Assumptions!$B$25)</f>
        <v>21.94447099</v>
      </c>
      <c r="G34" s="8" t="str">
        <f t="shared" si="1"/>
        <v>Yes</v>
      </c>
    </row>
    <row r="35" ht="15.0" customHeight="1">
      <c r="A35" s="8">
        <v>30.0</v>
      </c>
      <c r="B35" s="9">
        <f>'Floor Scaling'!D35</f>
        <v>17.23047352</v>
      </c>
      <c r="C35" s="14">
        <f>'Wall Breakpoints'!D35</f>
        <v>46.08593487</v>
      </c>
      <c r="D35" s="9">
        <f>Assumptions!$B$10*C35</f>
        <v>1382.578046</v>
      </c>
      <c r="E35" s="9">
        <f>D35*Assumptions!$B$24</f>
        <v>414.7734138</v>
      </c>
      <c r="F35" s="9">
        <f>B35*(1-Assumptions!$B$25)</f>
        <v>15.50742617</v>
      </c>
      <c r="G35" s="8" t="str">
        <f t="shared" si="1"/>
        <v>Yes</v>
      </c>
    </row>
    <row r="36" ht="15.0" customHeight="1">
      <c r="A36" s="8">
        <v>31.0</v>
      </c>
      <c r="B36" s="9">
        <f>'Floor Scaling'!D36</f>
        <v>18.26430193</v>
      </c>
      <c r="C36" s="14">
        <f>'Wall Breakpoints'!D36</f>
        <v>47.00765357</v>
      </c>
      <c r="D36" s="9">
        <f>Assumptions!$B$10*C36</f>
        <v>1410.229607</v>
      </c>
      <c r="E36" s="9">
        <f>D36*Assumptions!$B$24</f>
        <v>423.0688821</v>
      </c>
      <c r="F36" s="9">
        <f>B36*(1-Assumptions!$B$25)</f>
        <v>16.43787174</v>
      </c>
      <c r="G36" s="8" t="str">
        <f t="shared" si="1"/>
        <v>Yes</v>
      </c>
    </row>
    <row r="37" ht="15.0" customHeight="1">
      <c r="A37" s="8">
        <v>32.0</v>
      </c>
      <c r="B37" s="9">
        <f>'Floor Scaling'!D37</f>
        <v>19.36016005</v>
      </c>
      <c r="C37" s="14">
        <f>'Wall Breakpoints'!D37</f>
        <v>47.94780664</v>
      </c>
      <c r="D37" s="9">
        <f>Assumptions!$B$10*C37</f>
        <v>1438.434199</v>
      </c>
      <c r="E37" s="9">
        <f>D37*Assumptions!$B$24</f>
        <v>431.5302597</v>
      </c>
      <c r="F37" s="9">
        <f>B37*(1-Assumptions!$B$25)</f>
        <v>17.42414404</v>
      </c>
      <c r="G37" s="8" t="str">
        <f t="shared" si="1"/>
        <v>Yes</v>
      </c>
    </row>
    <row r="38" ht="15.0" customHeight="1">
      <c r="A38" s="8">
        <v>33.0</v>
      </c>
      <c r="B38" s="9">
        <f>'Floor Scaling'!D38</f>
        <v>20.52176965</v>
      </c>
      <c r="C38" s="14">
        <f>'Wall Breakpoints'!D38</f>
        <v>48.90676277</v>
      </c>
      <c r="D38" s="9">
        <f>Assumptions!$B$10*C38</f>
        <v>1467.202883</v>
      </c>
      <c r="E38" s="9">
        <f>D38*Assumptions!$B$24</f>
        <v>440.1608649</v>
      </c>
      <c r="F38" s="9">
        <f>B38*(1-Assumptions!$B$25)</f>
        <v>18.46959268</v>
      </c>
      <c r="G38" s="8" t="str">
        <f t="shared" si="1"/>
        <v>Yes</v>
      </c>
    </row>
    <row r="39" ht="15.0" customHeight="1">
      <c r="A39" s="8">
        <v>34.0</v>
      </c>
      <c r="B39" s="9">
        <f>'Floor Scaling'!D39</f>
        <v>21.75307583</v>
      </c>
      <c r="C39" s="14">
        <f>'Wall Breakpoints'!D39</f>
        <v>49.88489803</v>
      </c>
      <c r="D39" s="9">
        <f>Assumptions!$B$10*C39</f>
        <v>1496.546941</v>
      </c>
      <c r="E39" s="9">
        <f>D39*Assumptions!$B$24</f>
        <v>448.9640822</v>
      </c>
      <c r="F39" s="9">
        <f>B39*(1-Assumptions!$B$25)</f>
        <v>19.57776824</v>
      </c>
      <c r="G39" s="8" t="str">
        <f t="shared" si="1"/>
        <v>Yes</v>
      </c>
    </row>
    <row r="40" ht="15.0" customHeight="1">
      <c r="A40" s="8">
        <v>35.0</v>
      </c>
      <c r="B40" s="9">
        <f>'Floor Scaling'!D40</f>
        <v>23.05826038</v>
      </c>
      <c r="C40" s="14">
        <f>'Wall Breakpoints'!D40</f>
        <v>50.88259599</v>
      </c>
      <c r="D40" s="9">
        <f>Assumptions!$B$10*C40</f>
        <v>1526.47788</v>
      </c>
      <c r="E40" s="9">
        <f>D40*Assumptions!$B$24</f>
        <v>457.9433639</v>
      </c>
      <c r="F40" s="9">
        <f>B40*(1-Assumptions!$B$25)</f>
        <v>20.75243434</v>
      </c>
      <c r="G40" s="8" t="str">
        <f t="shared" si="1"/>
        <v>Yes</v>
      </c>
    </row>
    <row r="41" ht="15.0" customHeight="1">
      <c r="A41" s="8">
        <v>36.0</v>
      </c>
      <c r="B41" s="9">
        <f>'Floor Scaling'!D41</f>
        <v>24.441756</v>
      </c>
      <c r="C41" s="14">
        <f>'Wall Breakpoints'!D41</f>
        <v>51.90024791</v>
      </c>
      <c r="D41" s="9">
        <f>Assumptions!$B$10*C41</f>
        <v>1557.007437</v>
      </c>
      <c r="E41" s="9">
        <f>D41*Assumptions!$B$24</f>
        <v>467.1022312</v>
      </c>
      <c r="F41" s="9">
        <f>B41*(1-Assumptions!$B$25)</f>
        <v>21.9975804</v>
      </c>
      <c r="G41" s="8" t="str">
        <f t="shared" si="1"/>
        <v>Yes</v>
      </c>
    </row>
    <row r="42" ht="15.0" customHeight="1">
      <c r="A42" s="8">
        <v>37.0</v>
      </c>
      <c r="B42" s="9">
        <f>'Floor Scaling'!D42</f>
        <v>25.90826136</v>
      </c>
      <c r="C42" s="14">
        <f>'Wall Breakpoints'!D42</f>
        <v>52.93825286</v>
      </c>
      <c r="D42" s="9">
        <f>Assumptions!$B$10*C42</f>
        <v>1588.147586</v>
      </c>
      <c r="E42" s="9">
        <f>D42*Assumptions!$B$24</f>
        <v>476.4442758</v>
      </c>
      <c r="F42" s="9">
        <f>B42*(1-Assumptions!$B$25)</f>
        <v>23.31743522</v>
      </c>
      <c r="G42" s="8" t="str">
        <f t="shared" si="1"/>
        <v>Yes</v>
      </c>
    </row>
    <row r="43" ht="15.0" customHeight="1">
      <c r="A43" s="8">
        <v>38.0</v>
      </c>
      <c r="B43" s="9">
        <f>'Floor Scaling'!D43</f>
        <v>27.46275704</v>
      </c>
      <c r="C43" s="14">
        <f>'Wall Breakpoints'!D43</f>
        <v>53.99701792</v>
      </c>
      <c r="D43" s="9">
        <f>Assumptions!$B$10*C43</f>
        <v>1619.910538</v>
      </c>
      <c r="E43" s="9">
        <f>D43*Assumptions!$B$24</f>
        <v>485.9731613</v>
      </c>
      <c r="F43" s="9">
        <f>B43*(1-Assumptions!$B$25)</f>
        <v>24.71648134</v>
      </c>
      <c r="G43" s="8" t="str">
        <f t="shared" si="1"/>
        <v>Yes</v>
      </c>
    </row>
    <row r="44" ht="15.0" customHeight="1">
      <c r="A44" s="8">
        <v>39.0</v>
      </c>
      <c r="B44" s="9">
        <f>'Floor Scaling'!D44</f>
        <v>43.6657837</v>
      </c>
      <c r="C44" s="14">
        <f>'Wall Breakpoints'!D44</f>
        <v>55.07695828</v>
      </c>
      <c r="D44" s="9">
        <f>Assumptions!$B$10*C44</f>
        <v>1652.308748</v>
      </c>
      <c r="E44" s="9">
        <f>D44*Assumptions!$B$24</f>
        <v>495.6926245</v>
      </c>
      <c r="F44" s="9">
        <f>B44*(1-Assumptions!$B$25)</f>
        <v>39.29920533</v>
      </c>
      <c r="G44" s="8" t="str">
        <f t="shared" si="1"/>
        <v>Yes</v>
      </c>
    </row>
    <row r="45" ht="15.0" customHeight="1">
      <c r="A45" s="8">
        <v>40.0</v>
      </c>
      <c r="B45" s="9">
        <f>'Floor Scaling'!D45</f>
        <v>30.85715381</v>
      </c>
      <c r="C45" s="14">
        <f>'Wall Breakpoints'!D45</f>
        <v>165.2308748</v>
      </c>
      <c r="D45" s="9">
        <f>Assumptions!$B$10*C45</f>
        <v>4956.926245</v>
      </c>
      <c r="E45" s="9">
        <f>D45*Assumptions!$B$24</f>
        <v>1487.077874</v>
      </c>
      <c r="F45" s="9">
        <f>B45*(1-Assumptions!$B$25)</f>
        <v>27.77143843</v>
      </c>
      <c r="G45" s="8" t="str">
        <f t="shared" si="1"/>
        <v>Yes</v>
      </c>
    </row>
    <row r="46" ht="15.0" customHeight="1">
      <c r="A46" s="8">
        <v>41.0</v>
      </c>
      <c r="B46" s="9">
        <f>'Floor Scaling'!D46</f>
        <v>32.70858304</v>
      </c>
      <c r="C46" s="14">
        <f>'Wall Breakpoints'!D46</f>
        <v>168.5354923</v>
      </c>
      <c r="D46" s="9">
        <f>Assumptions!$B$10*C46</f>
        <v>5056.06477</v>
      </c>
      <c r="E46" s="9">
        <f>D46*Assumptions!$B$24</f>
        <v>1516.819431</v>
      </c>
      <c r="F46" s="9">
        <f>B46*(1-Assumptions!$B$25)</f>
        <v>29.43772474</v>
      </c>
      <c r="G46" s="8" t="str">
        <f t="shared" si="1"/>
        <v>Yes</v>
      </c>
    </row>
    <row r="47" ht="15.0" customHeight="1">
      <c r="A47" s="8">
        <v>42.0</v>
      </c>
      <c r="B47" s="9">
        <f>'Floor Scaling'!D47</f>
        <v>34.67109802</v>
      </c>
      <c r="C47" s="14">
        <f>'Wall Breakpoints'!D47</f>
        <v>171.9062022</v>
      </c>
      <c r="D47" s="9">
        <f>Assumptions!$B$10*C47</f>
        <v>5157.186066</v>
      </c>
      <c r="E47" s="9">
        <f>D47*Assumptions!$B$24</f>
        <v>1547.15582</v>
      </c>
      <c r="F47" s="9">
        <f>B47*(1-Assumptions!$B$25)</f>
        <v>31.20398822</v>
      </c>
      <c r="G47" s="8" t="str">
        <f t="shared" si="1"/>
        <v>Yes</v>
      </c>
    </row>
    <row r="48" ht="15.0" customHeight="1">
      <c r="A48" s="8">
        <v>43.0</v>
      </c>
      <c r="B48" s="9">
        <f>'Floor Scaling'!D48</f>
        <v>36.7513639</v>
      </c>
      <c r="C48" s="14">
        <f>'Wall Breakpoints'!D48</f>
        <v>175.3443262</v>
      </c>
      <c r="D48" s="9">
        <f>Assumptions!$B$10*C48</f>
        <v>5260.329787</v>
      </c>
      <c r="E48" s="9">
        <f>D48*Assumptions!$B$24</f>
        <v>1578.098936</v>
      </c>
      <c r="F48" s="9">
        <f>B48*(1-Assumptions!$B$25)</f>
        <v>33.07622751</v>
      </c>
      <c r="G48" s="8" t="str">
        <f t="shared" si="1"/>
        <v>Yes</v>
      </c>
    </row>
    <row r="49" ht="15.0" customHeight="1">
      <c r="A49" s="8">
        <v>44.0</v>
      </c>
      <c r="B49" s="9">
        <f>'Floor Scaling'!D49</f>
        <v>38.95644574</v>
      </c>
      <c r="C49" s="14">
        <f>'Wall Breakpoints'!D49</f>
        <v>178.8512128</v>
      </c>
      <c r="D49" s="9">
        <f>Assumptions!$B$10*C49</f>
        <v>5365.536383</v>
      </c>
      <c r="E49" s="9">
        <f>D49*Assumptions!$B$24</f>
        <v>1609.660915</v>
      </c>
      <c r="F49" s="9">
        <f>B49*(1-Assumptions!$B$25)</f>
        <v>35.06080116</v>
      </c>
      <c r="G49" s="8" t="str">
        <f t="shared" si="1"/>
        <v>Yes</v>
      </c>
    </row>
    <row r="50" ht="15.0" customHeight="1">
      <c r="A50" s="8">
        <v>45.0</v>
      </c>
      <c r="B50" s="9">
        <f>'Floor Scaling'!D50</f>
        <v>41.29383248</v>
      </c>
      <c r="C50" s="14">
        <f>'Wall Breakpoints'!D50</f>
        <v>182.428237</v>
      </c>
      <c r="D50" s="9">
        <f>Assumptions!$B$10*C50</f>
        <v>5472.84711</v>
      </c>
      <c r="E50" s="9">
        <f>D50*Assumptions!$B$24</f>
        <v>1641.854133</v>
      </c>
      <c r="F50" s="9">
        <f>B50*(1-Assumptions!$B$25)</f>
        <v>37.16444923</v>
      </c>
      <c r="G50" s="8" t="str">
        <f t="shared" si="1"/>
        <v>Yes</v>
      </c>
    </row>
    <row r="51" ht="15.0" customHeight="1">
      <c r="A51" s="8">
        <v>46.0</v>
      </c>
      <c r="B51" s="9">
        <f>'Floor Scaling'!D51</f>
        <v>43.77146243</v>
      </c>
      <c r="C51" s="14">
        <f>'Wall Breakpoints'!D51</f>
        <v>186.0768017</v>
      </c>
      <c r="D51" s="9">
        <f>Assumptions!$B$10*C51</f>
        <v>5582.304052</v>
      </c>
      <c r="E51" s="9">
        <f>D51*Assumptions!$B$24</f>
        <v>1674.691216</v>
      </c>
      <c r="F51" s="9">
        <f>B51*(1-Assumptions!$B$25)</f>
        <v>39.39431619</v>
      </c>
      <c r="G51" s="8" t="str">
        <f t="shared" si="1"/>
        <v>Yes</v>
      </c>
    </row>
    <row r="52" ht="15.0" customHeight="1">
      <c r="A52" s="8">
        <v>47.0</v>
      </c>
      <c r="B52" s="9">
        <f>'Floor Scaling'!D52</f>
        <v>46.39775018</v>
      </c>
      <c r="C52" s="14">
        <f>'Wall Breakpoints'!D52</f>
        <v>189.7983378</v>
      </c>
      <c r="D52" s="9">
        <f>Assumptions!$B$10*C52</f>
        <v>5693.950133</v>
      </c>
      <c r="E52" s="9">
        <f>D52*Assumptions!$B$24</f>
        <v>1708.18504</v>
      </c>
      <c r="F52" s="9">
        <f>B52*(1-Assumptions!$B$25)</f>
        <v>41.75797516</v>
      </c>
      <c r="G52" s="8" t="str">
        <f t="shared" si="1"/>
        <v>Yes</v>
      </c>
    </row>
    <row r="53" ht="15.0" customHeight="1">
      <c r="A53" s="8">
        <v>48.0</v>
      </c>
      <c r="B53" s="9">
        <f>'Floor Scaling'!D53</f>
        <v>49.18161519</v>
      </c>
      <c r="C53" s="14">
        <f>'Wall Breakpoints'!D53</f>
        <v>193.5943045</v>
      </c>
      <c r="D53" s="9">
        <f>Assumptions!$B$10*C53</f>
        <v>5807.829136</v>
      </c>
      <c r="E53" s="9">
        <f>D53*Assumptions!$B$24</f>
        <v>1742.348741</v>
      </c>
      <c r="F53" s="9">
        <f>B53*(1-Assumptions!$B$25)</f>
        <v>44.26345367</v>
      </c>
      <c r="G53" s="8" t="str">
        <f t="shared" si="1"/>
        <v>Yes</v>
      </c>
    </row>
    <row r="54" ht="15.0" customHeight="1">
      <c r="A54" s="8">
        <v>49.0</v>
      </c>
      <c r="B54" s="9">
        <f>'Floor Scaling'!D54</f>
        <v>78.19876815</v>
      </c>
      <c r="C54" s="14">
        <f>'Wall Breakpoints'!D54</f>
        <v>197.4661906</v>
      </c>
      <c r="D54" s="9">
        <f>Assumptions!$B$10*C54</f>
        <v>5923.985719</v>
      </c>
      <c r="E54" s="9">
        <f>D54*Assumptions!$B$24</f>
        <v>1777.195716</v>
      </c>
      <c r="F54" s="9">
        <f>B54*(1-Assumptions!$B$25)</f>
        <v>70.37889133</v>
      </c>
      <c r="G54" s="8" t="str">
        <f t="shared" si="1"/>
        <v>Yes</v>
      </c>
    </row>
    <row r="55" ht="15.0" customHeight="1">
      <c r="A55" s="8">
        <v>50.0</v>
      </c>
      <c r="B55" s="9">
        <f>'Floor Scaling'!D55</f>
        <v>55.26046282</v>
      </c>
      <c r="C55" s="14">
        <f>'Wall Breakpoints'!D55</f>
        <v>592.3985719</v>
      </c>
      <c r="D55" s="9">
        <f>Assumptions!$B$10*C55</f>
        <v>17771.95716</v>
      </c>
      <c r="E55" s="9">
        <f>D55*Assumptions!$B$24</f>
        <v>5331.587147</v>
      </c>
      <c r="F55" s="9">
        <f>B55*(1-Assumptions!$B$25)</f>
        <v>49.73441654</v>
      </c>
      <c r="G55" s="8" t="str">
        <f t="shared" si="1"/>
        <v>Yes</v>
      </c>
    </row>
    <row r="56" ht="15.0" customHeight="1">
      <c r="A56" s="8">
        <v>51.0</v>
      </c>
      <c r="B56" s="9">
        <f>'Floor Scaling'!D56</f>
        <v>58.57609059</v>
      </c>
      <c r="C56" s="14">
        <f>'Wall Breakpoints'!D56</f>
        <v>604.2465433</v>
      </c>
      <c r="D56" s="9">
        <f>Assumptions!$B$10*C56</f>
        <v>18127.3963</v>
      </c>
      <c r="E56" s="9">
        <f>D56*Assumptions!$B$24</f>
        <v>5438.21889</v>
      </c>
      <c r="F56" s="9">
        <f>B56*(1-Assumptions!$B$25)</f>
        <v>52.71848154</v>
      </c>
      <c r="G56" s="8" t="str">
        <f t="shared" si="1"/>
        <v>Yes</v>
      </c>
    </row>
    <row r="57" ht="15.0" customHeight="1">
      <c r="A57" s="8">
        <v>52.0</v>
      </c>
      <c r="B57" s="9">
        <f>'Floor Scaling'!D57</f>
        <v>62.09065603</v>
      </c>
      <c r="C57" s="14">
        <f>'Wall Breakpoints'!D57</f>
        <v>616.3314742</v>
      </c>
      <c r="D57" s="9">
        <f>Assumptions!$B$10*C57</f>
        <v>18489.94423</v>
      </c>
      <c r="E57" s="9">
        <f>D57*Assumptions!$B$24</f>
        <v>5546.983268</v>
      </c>
      <c r="F57" s="9">
        <f>B57*(1-Assumptions!$B$25)</f>
        <v>55.88159043</v>
      </c>
      <c r="G57" s="8" t="str">
        <f t="shared" si="1"/>
        <v>Yes</v>
      </c>
    </row>
    <row r="58" ht="15.0" customHeight="1">
      <c r="A58" s="8">
        <v>53.0</v>
      </c>
      <c r="B58" s="9">
        <f>'Floor Scaling'!D58</f>
        <v>65.81609539</v>
      </c>
      <c r="C58" s="14">
        <f>'Wall Breakpoints'!D58</f>
        <v>628.6581037</v>
      </c>
      <c r="D58" s="9">
        <f>Assumptions!$B$10*C58</f>
        <v>18859.74311</v>
      </c>
      <c r="E58" s="9">
        <f>D58*Assumptions!$B$24</f>
        <v>5657.922933</v>
      </c>
      <c r="F58" s="9">
        <f>B58*(1-Assumptions!$B$25)</f>
        <v>59.23448585</v>
      </c>
      <c r="G58" s="8" t="str">
        <f t="shared" si="1"/>
        <v>Yes</v>
      </c>
    </row>
    <row r="59" ht="15.0" customHeight="1">
      <c r="A59" s="8">
        <v>54.0</v>
      </c>
      <c r="B59" s="9">
        <f>'Floor Scaling'!D59</f>
        <v>69.76506112</v>
      </c>
      <c r="C59" s="14">
        <f>'Wall Breakpoints'!D59</f>
        <v>641.2312657</v>
      </c>
      <c r="D59" s="9">
        <f>Assumptions!$B$10*C59</f>
        <v>19236.93797</v>
      </c>
      <c r="E59" s="9">
        <f>D59*Assumptions!$B$24</f>
        <v>5771.081392</v>
      </c>
      <c r="F59" s="9">
        <f>B59*(1-Assumptions!$B$25)</f>
        <v>62.788555</v>
      </c>
      <c r="G59" s="8" t="str">
        <f t="shared" si="1"/>
        <v>Yes</v>
      </c>
    </row>
    <row r="60" ht="15.0" customHeight="1">
      <c r="A60" s="8">
        <v>55.0</v>
      </c>
      <c r="B60" s="9">
        <f>'Floor Scaling'!D60</f>
        <v>73.95096478</v>
      </c>
      <c r="C60" s="14">
        <f>'Wall Breakpoints'!D60</f>
        <v>654.0558911</v>
      </c>
      <c r="D60" s="9">
        <f>Assumptions!$B$10*C60</f>
        <v>19621.67673</v>
      </c>
      <c r="E60" s="9">
        <f>D60*Assumptions!$B$24</f>
        <v>5886.50302</v>
      </c>
      <c r="F60" s="9">
        <f>B60*(1-Assumptions!$B$25)</f>
        <v>66.5558683</v>
      </c>
      <c r="G60" s="8" t="str">
        <f t="shared" si="1"/>
        <v>Yes</v>
      </c>
    </row>
    <row r="61" ht="15.0" customHeight="1">
      <c r="A61" s="8">
        <v>56.0</v>
      </c>
      <c r="B61" s="9">
        <f>'Floor Scaling'!D61</f>
        <v>78.38802267</v>
      </c>
      <c r="C61" s="14">
        <f>'Wall Breakpoints'!D61</f>
        <v>667.1370089</v>
      </c>
      <c r="D61" s="9">
        <f>Assumptions!$B$10*C61</f>
        <v>20014.11027</v>
      </c>
      <c r="E61" s="9">
        <f>D61*Assumptions!$B$24</f>
        <v>6004.23308</v>
      </c>
      <c r="F61" s="9">
        <f>B61*(1-Assumptions!$B$25)</f>
        <v>70.5492204</v>
      </c>
      <c r="G61" s="8" t="str">
        <f t="shared" si="1"/>
        <v>Yes</v>
      </c>
    </row>
    <row r="62" ht="15.0" customHeight="1">
      <c r="A62" s="8">
        <v>57.0</v>
      </c>
      <c r="B62" s="9">
        <f>'Floor Scaling'!D62</f>
        <v>83.09130403</v>
      </c>
      <c r="C62" s="14">
        <f>'Wall Breakpoints'!D62</f>
        <v>680.4797491</v>
      </c>
      <c r="D62" s="9">
        <f>Assumptions!$B$10*C62</f>
        <v>20414.39247</v>
      </c>
      <c r="E62" s="9">
        <f>D62*Assumptions!$B$24</f>
        <v>6124.317742</v>
      </c>
      <c r="F62" s="9">
        <f>B62*(1-Assumptions!$B$25)</f>
        <v>74.78217363</v>
      </c>
      <c r="G62" s="8" t="str">
        <f t="shared" si="1"/>
        <v>Yes</v>
      </c>
    </row>
    <row r="63" ht="15.0" customHeight="1">
      <c r="A63" s="8">
        <v>58.0</v>
      </c>
      <c r="B63" s="9">
        <f>'Floor Scaling'!D63</f>
        <v>88.07678227</v>
      </c>
      <c r="C63" s="14">
        <f>'Wall Breakpoints'!D63</f>
        <v>694.089344</v>
      </c>
      <c r="D63" s="9">
        <f>Assumptions!$B$10*C63</f>
        <v>20822.68032</v>
      </c>
      <c r="E63" s="9">
        <f>D63*Assumptions!$B$24</f>
        <v>6246.804096</v>
      </c>
      <c r="F63" s="9">
        <f>B63*(1-Assumptions!$B$25)</f>
        <v>79.26910404</v>
      </c>
      <c r="G63" s="8" t="str">
        <f t="shared" si="1"/>
        <v>Yes</v>
      </c>
    </row>
    <row r="64" ht="15.0" customHeight="1">
      <c r="A64" s="8">
        <v>59.0</v>
      </c>
      <c r="B64" s="9">
        <f>'Floor Scaling'!D64</f>
        <v>140.0420838</v>
      </c>
      <c r="C64" s="14">
        <f>'Wall Breakpoints'!D64</f>
        <v>707.9711309</v>
      </c>
      <c r="D64" s="9">
        <f>Assumptions!$B$10*C64</f>
        <v>21239.13393</v>
      </c>
      <c r="E64" s="9">
        <f>D64*Assumptions!$B$24</f>
        <v>6371.740178</v>
      </c>
      <c r="F64" s="9">
        <f>B64*(1-Assumptions!$B$25)</f>
        <v>126.0378754</v>
      </c>
      <c r="G64" s="8" t="str">
        <f t="shared" si="1"/>
        <v>Yes</v>
      </c>
    </row>
    <row r="65" ht="15.0" customHeight="1">
      <c r="A65" s="8">
        <v>60.0</v>
      </c>
      <c r="B65" s="9">
        <f>'Floor Scaling'!D65</f>
        <v>98.96307256</v>
      </c>
      <c r="C65" s="14">
        <f>'Wall Breakpoints'!D65</f>
        <v>2123.913393</v>
      </c>
      <c r="D65" s="9">
        <f>Assumptions!$B$10*C65</f>
        <v>63717.40178</v>
      </c>
      <c r="E65" s="9">
        <f>D65*Assumptions!$B$24</f>
        <v>19115.22054</v>
      </c>
      <c r="F65" s="9">
        <f>B65*(1-Assumptions!$B$25)</f>
        <v>89.0667653</v>
      </c>
      <c r="G65" s="8" t="str">
        <f t="shared" si="1"/>
        <v>Yes</v>
      </c>
    </row>
    <row r="66" ht="15.0" customHeight="1">
      <c r="A66" s="8">
        <v>61.0</v>
      </c>
      <c r="B66" s="9">
        <f>'Floor Scaling'!D66</f>
        <v>104.9008569</v>
      </c>
      <c r="C66" s="14">
        <f>'Wall Breakpoints'!D66</f>
        <v>2166.391661</v>
      </c>
      <c r="D66" s="9">
        <f>Assumptions!$B$10*C66</f>
        <v>64991.74982</v>
      </c>
      <c r="E66" s="9">
        <f>D66*Assumptions!$B$24</f>
        <v>19497.52495</v>
      </c>
      <c r="F66" s="9">
        <f>B66*(1-Assumptions!$B$25)</f>
        <v>94.41077122</v>
      </c>
      <c r="G66" s="8" t="str">
        <f t="shared" si="1"/>
        <v>Yes</v>
      </c>
    </row>
    <row r="67" ht="15.0" customHeight="1">
      <c r="A67" s="8">
        <v>62.0</v>
      </c>
      <c r="B67" s="9">
        <f>'Floor Scaling'!D67</f>
        <v>111.1949083</v>
      </c>
      <c r="C67" s="14">
        <f>'Wall Breakpoints'!D67</f>
        <v>2209.719494</v>
      </c>
      <c r="D67" s="9">
        <f>Assumptions!$B$10*C67</f>
        <v>66291.58482</v>
      </c>
      <c r="E67" s="9">
        <f>D67*Assumptions!$B$24</f>
        <v>19887.47544</v>
      </c>
      <c r="F67" s="9">
        <f>B67*(1-Assumptions!$B$25)</f>
        <v>100.0754175</v>
      </c>
      <c r="G67" s="8" t="str">
        <f t="shared" si="1"/>
        <v>Yes</v>
      </c>
    </row>
    <row r="68" ht="15.0" customHeight="1">
      <c r="A68" s="8">
        <v>63.0</v>
      </c>
      <c r="B68" s="9">
        <f>'Floor Scaling'!D68</f>
        <v>117.8666028</v>
      </c>
      <c r="C68" s="14">
        <f>'Wall Breakpoints'!D68</f>
        <v>2253.913884</v>
      </c>
      <c r="D68" s="9">
        <f>Assumptions!$B$10*C68</f>
        <v>67617.41651</v>
      </c>
      <c r="E68" s="9">
        <f>D68*Assumptions!$B$24</f>
        <v>20285.22495</v>
      </c>
      <c r="F68" s="9">
        <f>B68*(1-Assumptions!$B$25)</f>
        <v>106.0799425</v>
      </c>
      <c r="G68" s="8" t="str">
        <f t="shared" si="1"/>
        <v>Yes</v>
      </c>
    </row>
    <row r="69" ht="15.0" customHeight="1">
      <c r="A69" s="8">
        <v>64.0</v>
      </c>
      <c r="B69" s="9">
        <f>'Floor Scaling'!D69</f>
        <v>124.938599</v>
      </c>
      <c r="C69" s="14">
        <f>'Wall Breakpoints'!D69</f>
        <v>2298.992161</v>
      </c>
      <c r="D69" s="9">
        <f>Assumptions!$B$10*C69</f>
        <v>68969.76484</v>
      </c>
      <c r="E69" s="9">
        <f>D69*Assumptions!$B$24</f>
        <v>20690.92945</v>
      </c>
      <c r="F69" s="9">
        <f>B69*(1-Assumptions!$B$25)</f>
        <v>112.4447391</v>
      </c>
      <c r="G69" s="8" t="str">
        <f t="shared" si="1"/>
        <v>Yes</v>
      </c>
    </row>
    <row r="70" ht="15.0" customHeight="1">
      <c r="A70" s="8">
        <v>65.0</v>
      </c>
      <c r="B70" s="9">
        <f>'Floor Scaling'!D70</f>
        <v>132.4349149</v>
      </c>
      <c r="C70" s="14">
        <f>'Wall Breakpoints'!D70</f>
        <v>2344.972005</v>
      </c>
      <c r="D70" s="9">
        <f>Assumptions!$B$10*C70</f>
        <v>70349.16014</v>
      </c>
      <c r="E70" s="9">
        <f>D70*Assumptions!$B$24</f>
        <v>21104.74804</v>
      </c>
      <c r="F70" s="9">
        <f>B70*(1-Assumptions!$B$25)</f>
        <v>119.1914234</v>
      </c>
      <c r="G70" s="8" t="str">
        <f t="shared" si="1"/>
        <v>Yes</v>
      </c>
    </row>
    <row r="71" ht="15.0" customHeight="1">
      <c r="A71" s="8">
        <v>66.0</v>
      </c>
      <c r="B71" s="9">
        <f>'Floor Scaling'!D71</f>
        <v>140.3810098</v>
      </c>
      <c r="C71" s="14">
        <f>'Wall Breakpoints'!D71</f>
        <v>2391.871445</v>
      </c>
      <c r="D71" s="9">
        <f>Assumptions!$B$10*C71</f>
        <v>71756.14334</v>
      </c>
      <c r="E71" s="9">
        <f>D71*Assumptions!$B$24</f>
        <v>21526.843</v>
      </c>
      <c r="F71" s="9">
        <f>B71*(1-Assumptions!$B$25)</f>
        <v>126.3429089</v>
      </c>
      <c r="G71" s="8" t="str">
        <f t="shared" si="1"/>
        <v>Yes</v>
      </c>
    </row>
    <row r="72" ht="15.0" customHeight="1">
      <c r="A72" s="8">
        <v>67.0</v>
      </c>
      <c r="B72" s="9">
        <f>'Floor Scaling'!D72</f>
        <v>148.8038704</v>
      </c>
      <c r="C72" s="14">
        <f>'Wall Breakpoints'!D72</f>
        <v>2439.708874</v>
      </c>
      <c r="D72" s="9">
        <f>Assumptions!$B$10*C72</f>
        <v>73191.26621</v>
      </c>
      <c r="E72" s="9">
        <f>D72*Assumptions!$B$24</f>
        <v>21957.37986</v>
      </c>
      <c r="F72" s="9">
        <f>B72*(1-Assumptions!$B$25)</f>
        <v>133.9234834</v>
      </c>
      <c r="G72" s="8" t="str">
        <f t="shared" si="1"/>
        <v>Yes</v>
      </c>
    </row>
    <row r="73" ht="15.0" customHeight="1">
      <c r="A73" s="8">
        <v>68.0</v>
      </c>
      <c r="B73" s="9">
        <f>'Floor Scaling'!D73</f>
        <v>157.7321026</v>
      </c>
      <c r="C73" s="14">
        <f>'Wall Breakpoints'!D73</f>
        <v>2488.503051</v>
      </c>
      <c r="D73" s="9">
        <f>Assumptions!$B$10*C73</f>
        <v>74655.09153</v>
      </c>
      <c r="E73" s="9">
        <f>D73*Assumptions!$B$24</f>
        <v>22396.52746</v>
      </c>
      <c r="F73" s="9">
        <f>B73*(1-Assumptions!$B$25)</f>
        <v>141.9588924</v>
      </c>
      <c r="G73" s="8" t="str">
        <f t="shared" si="1"/>
        <v>Yes</v>
      </c>
    </row>
    <row r="74" ht="15.0" customHeight="1">
      <c r="A74" s="8">
        <v>69.0</v>
      </c>
      <c r="B74" s="9">
        <f>'Floor Scaling'!D74</f>
        <v>250.7940432</v>
      </c>
      <c r="C74" s="14">
        <f>'Wall Breakpoints'!D74</f>
        <v>2538.273112</v>
      </c>
      <c r="D74" s="9">
        <f>Assumptions!$B$10*C74</f>
        <v>76148.19336</v>
      </c>
      <c r="E74" s="9">
        <f>D74*Assumptions!$B$24</f>
        <v>22844.45801</v>
      </c>
      <c r="F74" s="9">
        <f>B74*(1-Assumptions!$B$25)</f>
        <v>225.7146389</v>
      </c>
      <c r="G74" s="8" t="str">
        <f t="shared" si="1"/>
        <v>Yes</v>
      </c>
    </row>
    <row r="75" ht="15.0" customHeight="1">
      <c r="A75" s="8">
        <v>70.0</v>
      </c>
      <c r="B75" s="9">
        <f>'Floor Scaling'!D75</f>
        <v>177.2277905</v>
      </c>
      <c r="C75" s="14">
        <f>'Wall Breakpoints'!D75</f>
        <v>7614.819336</v>
      </c>
      <c r="D75" s="9">
        <f>Assumptions!$B$10*C75</f>
        <v>228444.5801</v>
      </c>
      <c r="E75" s="9">
        <f>D75*Assumptions!$B$24</f>
        <v>68533.37403</v>
      </c>
      <c r="F75" s="9">
        <f>B75*(1-Assumptions!$B$25)</f>
        <v>159.5050115</v>
      </c>
      <c r="G75" s="8" t="str">
        <f t="shared" si="1"/>
        <v>Yes</v>
      </c>
    </row>
    <row r="76" ht="15.0" customHeight="1">
      <c r="A76" s="8">
        <v>71.0</v>
      </c>
      <c r="B76" s="9">
        <f>'Floor Scaling'!D76</f>
        <v>187.861458</v>
      </c>
      <c r="C76" s="14">
        <f>'Wall Breakpoints'!D76</f>
        <v>7767.115723</v>
      </c>
      <c r="D76" s="9">
        <f>Assumptions!$B$10*C76</f>
        <v>233013.4717</v>
      </c>
      <c r="E76" s="9">
        <f>D76*Assumptions!$B$24</f>
        <v>69904.04151</v>
      </c>
      <c r="F76" s="9">
        <f>B76*(1-Assumptions!$B$25)</f>
        <v>169.0753122</v>
      </c>
      <c r="G76" s="8" t="str">
        <f t="shared" si="1"/>
        <v>Yes</v>
      </c>
    </row>
    <row r="77" ht="15.0" customHeight="1">
      <c r="A77" s="8">
        <v>72.0</v>
      </c>
      <c r="B77" s="9">
        <f>'Floor Scaling'!D77</f>
        <v>199.1331454</v>
      </c>
      <c r="C77" s="14">
        <f>'Wall Breakpoints'!D77</f>
        <v>7922.458038</v>
      </c>
      <c r="D77" s="9">
        <f>Assumptions!$B$10*C77</f>
        <v>237673.7411</v>
      </c>
      <c r="E77" s="9">
        <f>D77*Assumptions!$B$24</f>
        <v>71302.12234</v>
      </c>
      <c r="F77" s="9">
        <f>B77*(1-Assumptions!$B$25)</f>
        <v>179.2198309</v>
      </c>
      <c r="G77" s="8" t="str">
        <f t="shared" si="1"/>
        <v>Yes</v>
      </c>
    </row>
    <row r="78" ht="15.0" customHeight="1">
      <c r="A78" s="8">
        <v>73.0</v>
      </c>
      <c r="B78" s="9">
        <f>'Floor Scaling'!D78</f>
        <v>211.0811342</v>
      </c>
      <c r="C78" s="14">
        <f>'Wall Breakpoints'!D78</f>
        <v>8080.907198</v>
      </c>
      <c r="D78" s="9">
        <f>Assumptions!$B$10*C78</f>
        <v>242427.2159</v>
      </c>
      <c r="E78" s="9">
        <f>D78*Assumptions!$B$24</f>
        <v>72728.16478</v>
      </c>
      <c r="F78" s="9">
        <f>B78*(1-Assumptions!$B$25)</f>
        <v>189.9730208</v>
      </c>
      <c r="G78" s="8" t="str">
        <f t="shared" si="1"/>
        <v>Yes</v>
      </c>
    </row>
    <row r="79" ht="15.0" customHeight="1">
      <c r="A79" s="8">
        <v>74.0</v>
      </c>
      <c r="B79" s="9">
        <f>'Floor Scaling'!D79</f>
        <v>223.7460022</v>
      </c>
      <c r="C79" s="14">
        <f>'Wall Breakpoints'!D79</f>
        <v>8242.525342</v>
      </c>
      <c r="D79" s="9">
        <f>Assumptions!$B$10*C79</f>
        <v>247275.7603</v>
      </c>
      <c r="E79" s="9">
        <f>D79*Assumptions!$B$24</f>
        <v>74182.72808</v>
      </c>
      <c r="F79" s="9">
        <f>B79*(1-Assumptions!$B$25)</f>
        <v>201.371402</v>
      </c>
      <c r="G79" s="8" t="str">
        <f t="shared" si="1"/>
        <v>Yes</v>
      </c>
    </row>
    <row r="80" ht="15.0" customHeight="1">
      <c r="A80" s="8">
        <v>75.0</v>
      </c>
      <c r="B80" s="9">
        <f>'Floor Scaling'!D80</f>
        <v>237.1707624</v>
      </c>
      <c r="C80" s="14">
        <f>'Wall Breakpoints'!D80</f>
        <v>8407.375849</v>
      </c>
      <c r="D80" s="9">
        <f>Assumptions!$B$10*C80</f>
        <v>252221.2755</v>
      </c>
      <c r="E80" s="9">
        <f>D80*Assumptions!$B$24</f>
        <v>75666.38264</v>
      </c>
      <c r="F80" s="9">
        <f>B80*(1-Assumptions!$B$25)</f>
        <v>213.4536861</v>
      </c>
      <c r="G80" s="8" t="str">
        <f t="shared" si="1"/>
        <v>Yes</v>
      </c>
    </row>
    <row r="81" ht="15.0" customHeight="1">
      <c r="A81" s="8">
        <v>76.0</v>
      </c>
      <c r="B81" s="9">
        <f>'Floor Scaling'!D81</f>
        <v>251.4010081</v>
      </c>
      <c r="C81" s="14">
        <f>'Wall Breakpoints'!D81</f>
        <v>8575.523366</v>
      </c>
      <c r="D81" s="9">
        <f>Assumptions!$B$10*C81</f>
        <v>257265.701</v>
      </c>
      <c r="E81" s="9">
        <f>D81*Assumptions!$B$24</f>
        <v>77179.71029</v>
      </c>
      <c r="F81" s="9">
        <f>B81*(1-Assumptions!$B$25)</f>
        <v>226.2609073</v>
      </c>
      <c r="G81" s="8" t="str">
        <f t="shared" si="1"/>
        <v>Yes</v>
      </c>
    </row>
    <row r="82" ht="15.0" customHeight="1">
      <c r="A82" s="8">
        <v>77.0</v>
      </c>
      <c r="B82" s="9">
        <f>'Floor Scaling'!D82</f>
        <v>266.4850686</v>
      </c>
      <c r="C82" s="14">
        <f>'Wall Breakpoints'!D82</f>
        <v>8747.033833</v>
      </c>
      <c r="D82" s="9">
        <f>Assumptions!$B$10*C82</f>
        <v>262411.015</v>
      </c>
      <c r="E82" s="9">
        <f>D82*Assumptions!$B$24</f>
        <v>78723.3045</v>
      </c>
      <c r="F82" s="9">
        <f>B82*(1-Assumptions!$B$25)</f>
        <v>239.8365617</v>
      </c>
      <c r="G82" s="8" t="str">
        <f t="shared" si="1"/>
        <v>Yes</v>
      </c>
    </row>
    <row r="83" ht="15.0" customHeight="1">
      <c r="A83" s="8">
        <v>78.0</v>
      </c>
      <c r="B83" s="9">
        <f>'Floor Scaling'!D83</f>
        <v>282.4741727</v>
      </c>
      <c r="C83" s="14">
        <f>'Wall Breakpoints'!D83</f>
        <v>8921.97451</v>
      </c>
      <c r="D83" s="9">
        <f>Assumptions!$B$10*C83</f>
        <v>267659.2353</v>
      </c>
      <c r="E83" s="9">
        <f>D83*Assumptions!$B$24</f>
        <v>80297.77059</v>
      </c>
      <c r="F83" s="9">
        <f>B83*(1-Assumptions!$B$25)</f>
        <v>254.2267554</v>
      </c>
      <c r="G83" s="8" t="str">
        <f t="shared" si="1"/>
        <v>Yes</v>
      </c>
    </row>
    <row r="84" ht="15.0" customHeight="1">
      <c r="A84" s="8">
        <v>79.0</v>
      </c>
      <c r="B84" s="9">
        <f>'Floor Scaling'!D84</f>
        <v>449.1339346</v>
      </c>
      <c r="C84" s="14">
        <f>'Wall Breakpoints'!D84</f>
        <v>9100.414</v>
      </c>
      <c r="D84" s="9">
        <f>Assumptions!$B$10*C84</f>
        <v>273012.42</v>
      </c>
      <c r="E84" s="9">
        <f>D84*Assumptions!$B$24</f>
        <v>81903.726</v>
      </c>
      <c r="F84" s="9">
        <f>B84*(1-Assumptions!$B$25)</f>
        <v>404.2205411</v>
      </c>
      <c r="G84" s="8" t="str">
        <f t="shared" si="1"/>
        <v>Yes</v>
      </c>
    </row>
    <row r="85" ht="15.0" customHeight="1">
      <c r="A85" s="8">
        <v>80.0</v>
      </c>
      <c r="B85" s="9">
        <f>'Floor Scaling'!D85</f>
        <v>317.3879804</v>
      </c>
      <c r="C85" s="14">
        <f>'Wall Breakpoints'!D85</f>
        <v>27301.242</v>
      </c>
      <c r="D85" s="9">
        <f>Assumptions!$B$10*C85</f>
        <v>819037.26</v>
      </c>
      <c r="E85" s="9">
        <f>D85*Assumptions!$B$24</f>
        <v>245711.178</v>
      </c>
      <c r="F85" s="9">
        <f>B85*(1-Assumptions!$B$25)</f>
        <v>285.6491824</v>
      </c>
      <c r="G85" s="8" t="str">
        <f t="shared" si="1"/>
        <v>Yes</v>
      </c>
    </row>
    <row r="86" ht="15.0" customHeight="1">
      <c r="A86" s="8">
        <v>81.0</v>
      </c>
      <c r="B86" s="9">
        <f>'Floor Scaling'!D86</f>
        <v>336.4312593</v>
      </c>
      <c r="C86" s="14">
        <f>'Wall Breakpoints'!D86</f>
        <v>27847.26684</v>
      </c>
      <c r="D86" s="9">
        <f>Assumptions!$B$10*C86</f>
        <v>835418.0052</v>
      </c>
      <c r="E86" s="9">
        <f>D86*Assumptions!$B$24</f>
        <v>250625.4016</v>
      </c>
      <c r="F86" s="9">
        <f>B86*(1-Assumptions!$B$25)</f>
        <v>302.7881333</v>
      </c>
      <c r="G86" s="8" t="str">
        <f t="shared" si="1"/>
        <v>Yes</v>
      </c>
    </row>
    <row r="87" ht="15.0" customHeight="1">
      <c r="A87" s="8">
        <v>82.0</v>
      </c>
      <c r="B87" s="9">
        <f>'Floor Scaling'!D87</f>
        <v>356.6171348</v>
      </c>
      <c r="C87" s="14">
        <f>'Wall Breakpoints'!D87</f>
        <v>28404.21218</v>
      </c>
      <c r="D87" s="9">
        <f>Assumptions!$B$10*C87</f>
        <v>852126.3653</v>
      </c>
      <c r="E87" s="9">
        <f>D87*Assumptions!$B$24</f>
        <v>255637.9096</v>
      </c>
      <c r="F87" s="9">
        <f>B87*(1-Assumptions!$B$25)</f>
        <v>320.9554213</v>
      </c>
      <c r="G87" s="8" t="str">
        <f t="shared" si="1"/>
        <v>Yes</v>
      </c>
    </row>
    <row r="88" ht="15.0" customHeight="1">
      <c r="A88" s="8">
        <v>83.0</v>
      </c>
      <c r="B88" s="9">
        <f>'Floor Scaling'!D88</f>
        <v>378.0141629</v>
      </c>
      <c r="C88" s="14">
        <f>'Wall Breakpoints'!D88</f>
        <v>28972.29642</v>
      </c>
      <c r="D88" s="9">
        <f>Assumptions!$B$10*C88</f>
        <v>869168.8926</v>
      </c>
      <c r="E88" s="9">
        <f>D88*Assumptions!$B$24</f>
        <v>260750.6678</v>
      </c>
      <c r="F88" s="9">
        <f>B88*(1-Assumptions!$B$25)</f>
        <v>340.2127466</v>
      </c>
      <c r="G88" s="8" t="str">
        <f t="shared" si="1"/>
        <v>Yes</v>
      </c>
    </row>
    <row r="89" ht="15.0" customHeight="1">
      <c r="A89" s="8">
        <v>84.0</v>
      </c>
      <c r="B89" s="9">
        <f>'Floor Scaling'!D89</f>
        <v>400.6950127</v>
      </c>
      <c r="C89" s="14">
        <f>'Wall Breakpoints'!D89</f>
        <v>29551.74235</v>
      </c>
      <c r="D89" s="9">
        <f>Assumptions!$B$10*C89</f>
        <v>886552.2705</v>
      </c>
      <c r="E89" s="9">
        <f>D89*Assumptions!$B$24</f>
        <v>265965.6811</v>
      </c>
      <c r="F89" s="9">
        <f>B89*(1-Assumptions!$B$25)</f>
        <v>360.6255114</v>
      </c>
      <c r="G89" s="8" t="str">
        <f t="shared" si="1"/>
        <v>Yes</v>
      </c>
    </row>
    <row r="90" ht="15.0" customHeight="1">
      <c r="A90" s="8">
        <v>85.0</v>
      </c>
      <c r="B90" s="9">
        <f>'Floor Scaling'!D90</f>
        <v>424.7367135</v>
      </c>
      <c r="C90" s="14">
        <f>'Wall Breakpoints'!D90</f>
        <v>30142.7772</v>
      </c>
      <c r="D90" s="9">
        <f>Assumptions!$B$10*C90</f>
        <v>904283.3159</v>
      </c>
      <c r="E90" s="9">
        <f>D90*Assumptions!$B$24</f>
        <v>271284.9948</v>
      </c>
      <c r="F90" s="9">
        <f>B90*(1-Assumptions!$B$25)</f>
        <v>382.2630421</v>
      </c>
      <c r="G90" s="8" t="str">
        <f t="shared" si="1"/>
        <v>Yes</v>
      </c>
    </row>
    <row r="91" ht="15.0" customHeight="1">
      <c r="A91" s="8">
        <v>86.0</v>
      </c>
      <c r="B91" s="9">
        <f>'Floor Scaling'!D91</f>
        <v>450.2209163</v>
      </c>
      <c r="C91" s="14">
        <f>'Wall Breakpoints'!D91</f>
        <v>30745.63274</v>
      </c>
      <c r="D91" s="9">
        <f>Assumptions!$B$10*C91</f>
        <v>922368.9822</v>
      </c>
      <c r="E91" s="9">
        <f>D91*Assumptions!$B$24</f>
        <v>276710.6947</v>
      </c>
      <c r="F91" s="9">
        <f>B91*(1-Assumptions!$B$25)</f>
        <v>405.1988246</v>
      </c>
      <c r="G91" s="8" t="str">
        <f t="shared" si="1"/>
        <v>Yes</v>
      </c>
    </row>
    <row r="92" ht="15.0" customHeight="1">
      <c r="A92" s="8">
        <v>87.0</v>
      </c>
      <c r="B92" s="9">
        <f>'Floor Scaling'!D92</f>
        <v>477.2341712</v>
      </c>
      <c r="C92" s="14">
        <f>'Wall Breakpoints'!D92</f>
        <v>31360.5454</v>
      </c>
      <c r="D92" s="9">
        <f>Assumptions!$B$10*C92</f>
        <v>940816.3619</v>
      </c>
      <c r="E92" s="9">
        <f>D92*Assumptions!$B$24</f>
        <v>282244.9086</v>
      </c>
      <c r="F92" s="9">
        <f>B92*(1-Assumptions!$B$25)</f>
        <v>429.5107541</v>
      </c>
      <c r="G92" s="8" t="str">
        <f t="shared" si="1"/>
        <v>Yes</v>
      </c>
    </row>
    <row r="93" ht="15.0" customHeight="1">
      <c r="A93" s="8">
        <v>88.0</v>
      </c>
      <c r="B93" s="9">
        <f>'Floor Scaling'!D93</f>
        <v>505.8682215</v>
      </c>
      <c r="C93" s="14">
        <f>'Wall Breakpoints'!D93</f>
        <v>31987.7563</v>
      </c>
      <c r="D93" s="9">
        <f>Assumptions!$B$10*C93</f>
        <v>959632.6891</v>
      </c>
      <c r="E93" s="9">
        <f>D93*Assumptions!$B$24</f>
        <v>287889.8067</v>
      </c>
      <c r="F93" s="9">
        <f>B93*(1-Assumptions!$B$25)</f>
        <v>455.2813994</v>
      </c>
      <c r="G93" s="8" t="str">
        <f t="shared" si="1"/>
        <v>Yes</v>
      </c>
    </row>
    <row r="94" ht="15.0" customHeight="1">
      <c r="A94" s="8">
        <v>89.0</v>
      </c>
      <c r="B94" s="9">
        <f>'Floor Scaling'!D94</f>
        <v>804.3304722</v>
      </c>
      <c r="C94" s="14">
        <f>'Wall Breakpoints'!D94</f>
        <v>32627.51143</v>
      </c>
      <c r="D94" s="9">
        <f>Assumptions!$B$10*C94</f>
        <v>978825.3429</v>
      </c>
      <c r="E94" s="9">
        <f>D94*Assumptions!$B$24</f>
        <v>293647.6029</v>
      </c>
      <c r="F94" s="9">
        <f>B94*(1-Assumptions!$B$25)</f>
        <v>723.897425</v>
      </c>
      <c r="G94" s="8" t="str">
        <f t="shared" si="1"/>
        <v>Yes</v>
      </c>
    </row>
    <row r="95" ht="15.0" customHeight="1">
      <c r="A95" s="8">
        <v>90.0</v>
      </c>
      <c r="B95" s="9">
        <f>'Floor Scaling'!D95</f>
        <v>568.3935337</v>
      </c>
      <c r="C95" s="14">
        <f>'Wall Breakpoints'!D95</f>
        <v>97882.53429</v>
      </c>
      <c r="D95" s="9">
        <f>Assumptions!$B$10*C95</f>
        <v>2936476.029</v>
      </c>
      <c r="E95" s="9">
        <f>D95*Assumptions!$B$24</f>
        <v>880942.8086</v>
      </c>
      <c r="F95" s="9">
        <f>B95*(1-Assumptions!$B$25)</f>
        <v>511.5541803</v>
      </c>
      <c r="G95" s="8" t="str">
        <f t="shared" si="1"/>
        <v>Yes</v>
      </c>
    </row>
    <row r="96" ht="15.0" customHeight="1">
      <c r="A96" s="8">
        <v>91.0</v>
      </c>
      <c r="B96" s="9">
        <f>'Floor Scaling'!D96</f>
        <v>602.4971457</v>
      </c>
      <c r="C96" s="14">
        <f>'Wall Breakpoints'!D96</f>
        <v>99840.18497</v>
      </c>
      <c r="D96" s="9">
        <f>Assumptions!$B$10*C96</f>
        <v>2995205.549</v>
      </c>
      <c r="E96" s="9">
        <f>D96*Assumptions!$B$24</f>
        <v>898561.6648</v>
      </c>
      <c r="F96" s="9">
        <f>B96*(1-Assumptions!$B$25)</f>
        <v>542.2474311</v>
      </c>
      <c r="G96" s="8" t="str">
        <f t="shared" si="1"/>
        <v>Yes</v>
      </c>
    </row>
    <row r="97" ht="15.0" customHeight="1">
      <c r="A97" s="8">
        <v>92.0</v>
      </c>
      <c r="B97" s="9">
        <f>'Floor Scaling'!D97</f>
        <v>638.6469745</v>
      </c>
      <c r="C97" s="14">
        <f>'Wall Breakpoints'!D97</f>
        <v>101836.9887</v>
      </c>
      <c r="D97" s="9">
        <f>Assumptions!$B$10*C97</f>
        <v>3055109.66</v>
      </c>
      <c r="E97" s="9">
        <f>D97*Assumptions!$B$24</f>
        <v>916532.8981</v>
      </c>
      <c r="F97" s="9">
        <f>B97*(1-Assumptions!$B$25)</f>
        <v>574.782277</v>
      </c>
      <c r="G97" s="8" t="str">
        <f t="shared" si="1"/>
        <v>Yes</v>
      </c>
    </row>
    <row r="98" ht="15.0" customHeight="1">
      <c r="A98" s="8">
        <v>93.0</v>
      </c>
      <c r="B98" s="9">
        <f>'Floor Scaling'!D98</f>
        <v>676.9657929</v>
      </c>
      <c r="C98" s="14">
        <f>'Wall Breakpoints'!D98</f>
        <v>103873.7284</v>
      </c>
      <c r="D98" s="9">
        <f>Assumptions!$B$10*C98</f>
        <v>3116211.853</v>
      </c>
      <c r="E98" s="9">
        <f>D98*Assumptions!$B$24</f>
        <v>934863.556</v>
      </c>
      <c r="F98" s="9">
        <f>B98*(1-Assumptions!$B$25)</f>
        <v>609.2692136</v>
      </c>
      <c r="G98" s="8" t="str">
        <f t="shared" si="1"/>
        <v>Yes</v>
      </c>
    </row>
    <row r="99" ht="15.0" customHeight="1">
      <c r="A99" s="8">
        <v>94.0</v>
      </c>
      <c r="B99" s="9">
        <f>'Floor Scaling'!D99</f>
        <v>717.5837405</v>
      </c>
      <c r="C99" s="14">
        <f>'Wall Breakpoints'!D99</f>
        <v>105951.203</v>
      </c>
      <c r="D99" s="9">
        <f>Assumptions!$B$10*C99</f>
        <v>3178536.09</v>
      </c>
      <c r="E99" s="9">
        <f>D99*Assumptions!$B$24</f>
        <v>953560.8271</v>
      </c>
      <c r="F99" s="9">
        <f>B99*(1-Assumptions!$B$25)</f>
        <v>645.8253665</v>
      </c>
      <c r="G99" s="8" t="str">
        <f t="shared" si="1"/>
        <v>Yes</v>
      </c>
    </row>
    <row r="100" ht="15.0" customHeight="1">
      <c r="A100" s="8">
        <v>95.0</v>
      </c>
      <c r="B100" s="9">
        <f>'Floor Scaling'!D100</f>
        <v>760.6387649</v>
      </c>
      <c r="C100" s="14">
        <f>'Wall Breakpoints'!D100</f>
        <v>108070.2271</v>
      </c>
      <c r="D100" s="9">
        <f>Assumptions!$B$10*C100</f>
        <v>3242106.812</v>
      </c>
      <c r="E100" s="9">
        <f>D100*Assumptions!$B$24</f>
        <v>972632.0437</v>
      </c>
      <c r="F100" s="9">
        <f>B100*(1-Assumptions!$B$25)</f>
        <v>684.5748884</v>
      </c>
      <c r="G100" s="8" t="str">
        <f t="shared" si="1"/>
        <v>Yes</v>
      </c>
    </row>
    <row r="101" ht="15.0" customHeight="1">
      <c r="A101" s="8">
        <v>96.0</v>
      </c>
      <c r="B101" s="9">
        <f>'Floor Scaling'!D101</f>
        <v>806.2770908</v>
      </c>
      <c r="C101" s="14">
        <f>'Wall Breakpoints'!D101</f>
        <v>110231.6316</v>
      </c>
      <c r="D101" s="9">
        <f>Assumptions!$B$10*C101</f>
        <v>3306948.949</v>
      </c>
      <c r="E101" s="9">
        <f>D101*Assumptions!$B$24</f>
        <v>992084.6846</v>
      </c>
      <c r="F101" s="9">
        <f>B101*(1-Assumptions!$B$25)</f>
        <v>725.6493817</v>
      </c>
      <c r="G101" s="8" t="str">
        <f t="shared" si="1"/>
        <v>Yes</v>
      </c>
    </row>
    <row r="102" ht="15.0" customHeight="1">
      <c r="A102" s="8">
        <v>97.0</v>
      </c>
      <c r="B102" s="9">
        <f>'Floor Scaling'!D102</f>
        <v>854.6537163</v>
      </c>
      <c r="C102" s="14">
        <f>'Wall Breakpoints'!D102</f>
        <v>112436.2642</v>
      </c>
      <c r="D102" s="9">
        <f>Assumptions!$B$10*C102</f>
        <v>3373087.927</v>
      </c>
      <c r="E102" s="9">
        <f>D102*Assumptions!$B$24</f>
        <v>1011926.378</v>
      </c>
      <c r="F102" s="9">
        <f>B102*(1-Assumptions!$B$25)</f>
        <v>769.1883446</v>
      </c>
      <c r="G102" s="8" t="str">
        <f t="shared" si="1"/>
        <v>Yes</v>
      </c>
    </row>
    <row r="103" ht="15.0" customHeight="1">
      <c r="A103" s="8">
        <v>98.0</v>
      </c>
      <c r="B103" s="9">
        <f>'Floor Scaling'!D103</f>
        <v>905.9329393</v>
      </c>
      <c r="C103" s="14">
        <f>'Wall Breakpoints'!D103</f>
        <v>114684.9895</v>
      </c>
      <c r="D103" s="9">
        <f>Assumptions!$B$10*C103</f>
        <v>3440549.686</v>
      </c>
      <c r="E103" s="9">
        <f>D103*Assumptions!$B$24</f>
        <v>1032164.906</v>
      </c>
      <c r="F103" s="9">
        <f>B103*(1-Assumptions!$B$25)</f>
        <v>815.3396453</v>
      </c>
      <c r="G103" s="8" t="str">
        <f t="shared" si="1"/>
        <v>Yes</v>
      </c>
    </row>
    <row r="104" ht="15.0" customHeight="1">
      <c r="A104" s="8">
        <v>99.0</v>
      </c>
      <c r="B104" s="9">
        <f>'Floor Scaling'!D104</f>
        <v>1440.433373</v>
      </c>
      <c r="C104" s="14">
        <f>'Wall Breakpoints'!D104</f>
        <v>116978.6893</v>
      </c>
      <c r="D104" s="9">
        <f>Assumptions!$B$10*C104</f>
        <v>3509360.68</v>
      </c>
      <c r="E104" s="9">
        <f>D104*Assumptions!$B$24</f>
        <v>1052808.204</v>
      </c>
      <c r="F104" s="9">
        <f>B104*(1-Assumptions!$B$25)</f>
        <v>1296.390036</v>
      </c>
      <c r="G104" s="8" t="str">
        <f t="shared" si="1"/>
        <v>Yes</v>
      </c>
    </row>
    <row r="105" ht="15.0" customHeight="1">
      <c r="A105" s="8">
        <v>100.0</v>
      </c>
      <c r="B105" s="9" t="str">
        <f>'Floor Scaling'!D105</f>
        <v/>
      </c>
      <c r="C105" s="14">
        <f>'Wall Breakpoints'!D105</f>
        <v>350936.068</v>
      </c>
      <c r="D105" s="9">
        <f>Assumptions!$B$10*C105</f>
        <v>10528082.04</v>
      </c>
      <c r="E105" s="9">
        <f>D105*Assumptions!$B$24</f>
        <v>3158424.612</v>
      </c>
      <c r="F105" s="9">
        <f>B105*(1-Assumptions!$B$25)</f>
        <v>0</v>
      </c>
      <c r="G105" s="8" t="str">
        <f t="shared" si="1"/>
        <v>Yes</v>
      </c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2">
    <mergeCell ref="A1:G1"/>
    <mergeCell ref="A2:G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3" width="14.0"/>
    <col customWidth="1" min="4" max="5" width="16.0"/>
    <col customWidth="1" min="6" max="6" width="20.0"/>
    <col customWidth="1" min="7" max="7" width="40.0"/>
    <col customWidth="1" min="8" max="26" width="8.71"/>
  </cols>
  <sheetData>
    <row r="1" ht="17.25" customHeight="1">
      <c r="A1" s="1" t="s">
        <v>112</v>
      </c>
    </row>
    <row r="2" ht="15.0" customHeight="1">
      <c r="A2" s="11" t="s">
        <v>113</v>
      </c>
    </row>
    <row r="3" ht="15.0" customHeight="1"/>
    <row r="4">
      <c r="A4" s="2"/>
      <c r="B4" s="2"/>
      <c r="C4" s="2"/>
      <c r="D4" s="2"/>
      <c r="E4" s="2"/>
      <c r="F4" s="2"/>
      <c r="G4" s="2"/>
    </row>
    <row r="5" ht="15.0" customHeight="1">
      <c r="A5" s="3" t="s">
        <v>114</v>
      </c>
      <c r="B5" s="3" t="s">
        <v>115</v>
      </c>
      <c r="C5" s="3" t="s">
        <v>116</v>
      </c>
      <c r="D5" s="3" t="s">
        <v>117</v>
      </c>
      <c r="E5" s="3" t="s">
        <v>118</v>
      </c>
      <c r="F5" s="3" t="s">
        <v>119</v>
      </c>
      <c r="G5" s="3" t="s">
        <v>120</v>
      </c>
    </row>
    <row r="6" ht="15.0" customHeight="1">
      <c r="A6" s="8" t="s">
        <v>121</v>
      </c>
      <c r="B6" s="15">
        <v>0.85</v>
      </c>
      <c r="C6" s="5">
        <v>1.0</v>
      </c>
      <c r="D6" s="16">
        <f t="shared" ref="D6:D12" si="1">B6/C6</f>
        <v>0.85</v>
      </c>
      <c r="E6" s="5">
        <v>16.0</v>
      </c>
      <c r="F6" s="9">
        <f t="shared" ref="F6:F12" si="2">E6/D6</f>
        <v>18.82352941</v>
      </c>
      <c r="G6" s="17" t="s">
        <v>122</v>
      </c>
    </row>
    <row r="7" ht="15.0" customHeight="1">
      <c r="A7" s="8" t="s">
        <v>76</v>
      </c>
      <c r="B7" s="15">
        <v>0.075</v>
      </c>
      <c r="C7" s="5">
        <v>14.0</v>
      </c>
      <c r="D7" s="16">
        <f t="shared" si="1"/>
        <v>0.005357142857</v>
      </c>
      <c r="E7" s="5">
        <v>10.0</v>
      </c>
      <c r="F7" s="9">
        <f t="shared" si="2"/>
        <v>1866.666667</v>
      </c>
      <c r="G7" s="17" t="s">
        <v>123</v>
      </c>
    </row>
    <row r="8" ht="15.0" customHeight="1">
      <c r="A8" s="8" t="s">
        <v>124</v>
      </c>
      <c r="B8" s="15">
        <v>0.025</v>
      </c>
      <c r="C8" s="5">
        <v>8.0</v>
      </c>
      <c r="D8" s="16">
        <f t="shared" si="1"/>
        <v>0.003125</v>
      </c>
      <c r="E8" s="5">
        <v>45.0</v>
      </c>
      <c r="F8" s="9">
        <f t="shared" si="2"/>
        <v>14400</v>
      </c>
      <c r="G8" s="17" t="s">
        <v>125</v>
      </c>
    </row>
    <row r="9" ht="15.0" customHeight="1">
      <c r="A9" s="8" t="s">
        <v>77</v>
      </c>
      <c r="B9" s="15">
        <v>0.004</v>
      </c>
      <c r="C9" s="5">
        <v>10.0</v>
      </c>
      <c r="D9" s="16">
        <f t="shared" si="1"/>
        <v>0.0004</v>
      </c>
      <c r="E9" s="5">
        <v>150.0</v>
      </c>
      <c r="F9" s="9">
        <f t="shared" si="2"/>
        <v>375000</v>
      </c>
      <c r="G9" s="17" t="s">
        <v>126</v>
      </c>
    </row>
    <row r="10" ht="15.0" customHeight="1">
      <c r="A10" s="8" t="s">
        <v>78</v>
      </c>
      <c r="B10" s="15">
        <v>6.0E-4</v>
      </c>
      <c r="C10" s="5">
        <v>12.0</v>
      </c>
      <c r="D10" s="16">
        <f t="shared" si="1"/>
        <v>0.00005</v>
      </c>
      <c r="E10" s="5">
        <v>400.0</v>
      </c>
      <c r="F10" s="9">
        <f t="shared" si="2"/>
        <v>8000000</v>
      </c>
      <c r="G10" s="17" t="s">
        <v>127</v>
      </c>
    </row>
    <row r="11" ht="15.0" customHeight="1">
      <c r="A11" s="8" t="s">
        <v>79</v>
      </c>
      <c r="B11" s="15">
        <v>5.0E-5</v>
      </c>
      <c r="C11" s="5">
        <v>8.0</v>
      </c>
      <c r="D11" s="16">
        <f t="shared" si="1"/>
        <v>0.00000625</v>
      </c>
      <c r="E11" s="5">
        <v>1000.0</v>
      </c>
      <c r="F11" s="9">
        <f t="shared" si="2"/>
        <v>160000000</v>
      </c>
      <c r="G11" s="17" t="s">
        <v>128</v>
      </c>
    </row>
    <row r="12" ht="15.0" customHeight="1">
      <c r="A12" s="8" t="s">
        <v>129</v>
      </c>
      <c r="B12" s="15">
        <v>3.0E-6</v>
      </c>
      <c r="C12" s="5">
        <v>6.0</v>
      </c>
      <c r="D12" s="16">
        <f t="shared" si="1"/>
        <v>0.0000005</v>
      </c>
      <c r="E12" s="5">
        <v>100.0</v>
      </c>
      <c r="F12" s="9">
        <f t="shared" si="2"/>
        <v>200000000</v>
      </c>
      <c r="G12" s="17" t="s">
        <v>130</v>
      </c>
    </row>
    <row r="13">
      <c r="A13" s="2"/>
      <c r="B13" s="2"/>
      <c r="C13" s="2"/>
      <c r="D13" s="2"/>
      <c r="E13" s="2"/>
      <c r="F13" s="2"/>
      <c r="G13" s="2"/>
    </row>
    <row r="14" ht="15.0" customHeight="1">
      <c r="A14" s="11" t="s">
        <v>131</v>
      </c>
    </row>
    <row r="15" ht="15.0" customHeight="1"/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3">
    <mergeCell ref="A1:G1"/>
    <mergeCell ref="A2:G3"/>
    <mergeCell ref="A14:G15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34.0"/>
    <col customWidth="1" min="4" max="4" width="40.0"/>
    <col customWidth="1" min="5" max="5" width="12.0"/>
    <col customWidth="1" min="6" max="6" width="14.0"/>
    <col customWidth="1" min="7" max="7" width="22.0"/>
    <col customWidth="1" min="8" max="8" width="44.0"/>
    <col customWidth="1" min="9" max="26" width="8.71"/>
  </cols>
  <sheetData>
    <row r="1" ht="17.25" customHeight="1">
      <c r="A1" s="1" t="s">
        <v>132</v>
      </c>
    </row>
    <row r="2" ht="15.0" customHeight="1">
      <c r="A2" s="11" t="s">
        <v>133</v>
      </c>
    </row>
    <row r="3" ht="15.0" customHeight="1"/>
    <row r="4">
      <c r="A4" s="2"/>
      <c r="B4" s="2"/>
      <c r="C4" s="2"/>
      <c r="D4" s="2"/>
      <c r="E4" s="2"/>
      <c r="F4" s="2"/>
      <c r="G4" s="2"/>
      <c r="H4" s="2"/>
    </row>
    <row r="5" ht="15.0" customHeight="1">
      <c r="A5" s="3" t="s">
        <v>134</v>
      </c>
      <c r="B5" s="3" t="s">
        <v>135</v>
      </c>
      <c r="C5" s="3" t="s">
        <v>136</v>
      </c>
      <c r="D5" s="3" t="s">
        <v>137</v>
      </c>
      <c r="E5" s="3" t="s">
        <v>138</v>
      </c>
      <c r="F5" s="3" t="s">
        <v>139</v>
      </c>
      <c r="G5" s="3" t="s">
        <v>140</v>
      </c>
      <c r="H5" s="3" t="s">
        <v>4</v>
      </c>
    </row>
    <row r="6" ht="15.0" customHeight="1">
      <c r="A6" s="8" t="s">
        <v>141</v>
      </c>
      <c r="B6" s="8" t="s">
        <v>142</v>
      </c>
      <c r="C6" s="18" t="s">
        <v>143</v>
      </c>
      <c r="D6" s="19" t="s">
        <v>144</v>
      </c>
      <c r="E6" s="8" t="s">
        <v>145</v>
      </c>
      <c r="F6" s="5">
        <v>1.0</v>
      </c>
      <c r="G6" s="20">
        <f>1</f>
        <v>1</v>
      </c>
      <c r="H6" s="19" t="s">
        <v>146</v>
      </c>
    </row>
    <row r="7" ht="27.75" customHeight="1">
      <c r="A7" s="8" t="s">
        <v>147</v>
      </c>
      <c r="B7" s="8" t="s">
        <v>148</v>
      </c>
      <c r="C7" s="18" t="s">
        <v>149</v>
      </c>
      <c r="D7" s="19" t="s">
        <v>150</v>
      </c>
      <c r="E7" s="8">
        <v>100.0</v>
      </c>
      <c r="F7" s="5">
        <v>20.0</v>
      </c>
      <c r="G7" s="20">
        <f>10+2*F7</f>
        <v>50</v>
      </c>
      <c r="H7" s="19" t="s">
        <v>151</v>
      </c>
    </row>
    <row r="8" ht="27.75" customHeight="1">
      <c r="A8" s="8" t="s">
        <v>152</v>
      </c>
      <c r="B8" s="8" t="s">
        <v>153</v>
      </c>
      <c r="C8" s="18" t="s">
        <v>154</v>
      </c>
      <c r="D8" s="19" t="s">
        <v>155</v>
      </c>
      <c r="E8" s="8">
        <v>5.0</v>
      </c>
      <c r="F8" s="5">
        <v>3.0</v>
      </c>
      <c r="G8" s="20">
        <f>10*F8</f>
        <v>30</v>
      </c>
      <c r="H8" s="19" t="s">
        <v>156</v>
      </c>
    </row>
    <row r="9" ht="27.75" customHeight="1">
      <c r="A9" s="8" t="s">
        <v>157</v>
      </c>
      <c r="B9" s="8" t="s">
        <v>153</v>
      </c>
      <c r="C9" s="18" t="s">
        <v>158</v>
      </c>
      <c r="D9" s="19" t="s">
        <v>159</v>
      </c>
      <c r="E9" s="8">
        <v>8.0</v>
      </c>
      <c r="F9" s="5">
        <v>2.0</v>
      </c>
      <c r="G9" s="20" t="str">
        <f>"n/a"</f>
        <v>n/a</v>
      </c>
      <c r="H9" s="19" t="s">
        <v>160</v>
      </c>
    </row>
    <row r="10" ht="27.75" customHeight="1">
      <c r="A10" s="8" t="s">
        <v>161</v>
      </c>
      <c r="B10" s="8" t="s">
        <v>162</v>
      </c>
      <c r="C10" s="18" t="s">
        <v>163</v>
      </c>
      <c r="D10" s="19" t="s">
        <v>164</v>
      </c>
      <c r="E10" s="8">
        <v>30.0</v>
      </c>
      <c r="F10" s="5">
        <v>10.0</v>
      </c>
      <c r="G10" s="10">
        <f>F10*0.02</f>
        <v>0.2</v>
      </c>
      <c r="H10" s="19" t="s">
        <v>165</v>
      </c>
    </row>
    <row r="11" ht="15.0" customHeight="1">
      <c r="A11" s="8" t="s">
        <v>166</v>
      </c>
      <c r="B11" s="8" t="s">
        <v>167</v>
      </c>
      <c r="C11" s="18" t="s">
        <v>168</v>
      </c>
      <c r="D11" s="19" t="s">
        <v>169</v>
      </c>
      <c r="E11" s="8">
        <v>52.0</v>
      </c>
      <c r="F11" s="5">
        <v>20.0</v>
      </c>
      <c r="G11" s="10">
        <f>F11*0.015</f>
        <v>0.3</v>
      </c>
      <c r="H11" s="19" t="s">
        <v>165</v>
      </c>
    </row>
    <row r="12" ht="27.75" customHeight="1">
      <c r="A12" s="8" t="s">
        <v>170</v>
      </c>
      <c r="B12" s="8" t="s">
        <v>171</v>
      </c>
      <c r="C12" s="18" t="s">
        <v>172</v>
      </c>
      <c r="D12" s="19" t="s">
        <v>173</v>
      </c>
      <c r="E12" s="8">
        <v>200.0</v>
      </c>
      <c r="F12" s="5">
        <v>50.0</v>
      </c>
      <c r="G12" s="13">
        <f>1+(F12*0.1)</f>
        <v>6</v>
      </c>
      <c r="H12" s="19" t="s">
        <v>174</v>
      </c>
    </row>
    <row r="13" ht="27.75" customHeight="1">
      <c r="A13" s="8" t="s">
        <v>175</v>
      </c>
      <c r="B13" s="8" t="s">
        <v>176</v>
      </c>
      <c r="C13" s="18" t="s">
        <v>177</v>
      </c>
      <c r="D13" s="19" t="s">
        <v>178</v>
      </c>
      <c r="E13" s="8">
        <v>150.0</v>
      </c>
      <c r="F13" s="5">
        <v>30.0</v>
      </c>
      <c r="G13" s="9">
        <f>100000*(F13*0.01)</f>
        <v>30000</v>
      </c>
      <c r="H13" s="19" t="s">
        <v>179</v>
      </c>
    </row>
    <row r="14" ht="27.75" customHeight="1">
      <c r="A14" s="8" t="s">
        <v>180</v>
      </c>
      <c r="B14" s="8" t="s">
        <v>181</v>
      </c>
      <c r="C14" s="18" t="s">
        <v>182</v>
      </c>
      <c r="D14" s="19" t="s">
        <v>183</v>
      </c>
      <c r="E14" s="8">
        <v>20.0</v>
      </c>
      <c r="F14" s="5">
        <v>10.0</v>
      </c>
      <c r="G14" s="10">
        <f>F14*0.03</f>
        <v>0.3</v>
      </c>
      <c r="H14" s="19" t="s">
        <v>165</v>
      </c>
    </row>
    <row r="15" ht="27.75" customHeight="1">
      <c r="A15" s="8" t="s">
        <v>184</v>
      </c>
      <c r="B15" s="8" t="s">
        <v>181</v>
      </c>
      <c r="C15" s="18" t="s">
        <v>185</v>
      </c>
      <c r="D15" s="19" t="s">
        <v>183</v>
      </c>
      <c r="E15" s="8">
        <v>120.0</v>
      </c>
      <c r="F15" s="5">
        <v>30.0</v>
      </c>
      <c r="G15" s="10">
        <f>F15*0.02</f>
        <v>0.6</v>
      </c>
      <c r="H15" s="19" t="s">
        <v>165</v>
      </c>
    </row>
    <row r="16" ht="27.75" customHeight="1">
      <c r="A16" s="8" t="s">
        <v>186</v>
      </c>
      <c r="B16" s="8" t="s">
        <v>181</v>
      </c>
      <c r="C16" s="18" t="s">
        <v>187</v>
      </c>
      <c r="D16" s="19" t="s">
        <v>183</v>
      </c>
      <c r="E16" s="8">
        <v>16.0</v>
      </c>
      <c r="F16" s="5">
        <v>8.0</v>
      </c>
      <c r="G16" s="10">
        <f>F16*0.05</f>
        <v>0.4</v>
      </c>
      <c r="H16" s="19" t="s">
        <v>165</v>
      </c>
    </row>
    <row r="17" ht="27.75" customHeight="1">
      <c r="A17" s="8" t="s">
        <v>188</v>
      </c>
      <c r="B17" s="8" t="s">
        <v>189</v>
      </c>
      <c r="C17" s="18" t="s">
        <v>190</v>
      </c>
      <c r="D17" s="19" t="s">
        <v>191</v>
      </c>
      <c r="E17" s="8">
        <v>80.0</v>
      </c>
      <c r="F17" s="5">
        <v>20.0</v>
      </c>
      <c r="G17" s="9">
        <f>(50+5*(F17-1))</f>
        <v>145</v>
      </c>
      <c r="H17" s="19" t="s">
        <v>192</v>
      </c>
    </row>
    <row r="18" ht="27.75" customHeight="1">
      <c r="A18" s="8" t="s">
        <v>193</v>
      </c>
      <c r="B18" s="8" t="s">
        <v>194</v>
      </c>
      <c r="C18" s="18" t="s">
        <v>195</v>
      </c>
      <c r="D18" s="19" t="s">
        <v>196</v>
      </c>
      <c r="E18" s="8" t="s">
        <v>197</v>
      </c>
      <c r="F18" s="5" t="s">
        <v>198</v>
      </c>
      <c r="G18" s="20" t="str">
        <f>"See Prestige Curve tab"</f>
        <v>See Prestige Curve tab</v>
      </c>
      <c r="H18" s="19" t="s">
        <v>199</v>
      </c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">
    <mergeCell ref="A1:H1"/>
    <mergeCell ref="A2:H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24.0"/>
    <col customWidth="1" min="4" max="4" width="10.0"/>
    <col customWidth="1" min="5" max="26" width="8.71"/>
  </cols>
  <sheetData>
    <row r="1" ht="17.25" customHeight="1">
      <c r="A1" s="1" t="s">
        <v>200</v>
      </c>
    </row>
    <row r="2" ht="15.0" customHeight="1">
      <c r="A2" s="11" t="s">
        <v>201</v>
      </c>
    </row>
    <row r="3" ht="15.0" customHeight="1"/>
    <row r="4">
      <c r="A4" s="2"/>
      <c r="B4" s="2"/>
      <c r="C4" s="2"/>
      <c r="D4" s="2"/>
    </row>
    <row r="5" ht="15.0" customHeight="1">
      <c r="A5" s="3" t="s">
        <v>63</v>
      </c>
      <c r="B5" s="3" t="s">
        <v>202</v>
      </c>
      <c r="C5" s="3" t="s">
        <v>203</v>
      </c>
      <c r="D5" s="2"/>
    </row>
    <row r="6" ht="15.0" customHeight="1">
      <c r="A6" s="8">
        <v>1.0</v>
      </c>
      <c r="B6" s="9">
        <f>Assumptions!$B$26+(A6*Assumptions!$B$27)</f>
        <v>11</v>
      </c>
      <c r="C6" s="9">
        <f>B6</f>
        <v>11</v>
      </c>
      <c r="D6" s="2"/>
    </row>
    <row r="7" ht="15.0" customHeight="1">
      <c r="A7" s="8">
        <v>2.0</v>
      </c>
      <c r="B7" s="9">
        <f>Assumptions!$B$26+(A7*Assumptions!$B$27)</f>
        <v>14</v>
      </c>
      <c r="C7" s="9">
        <f t="shared" ref="C7:C105" si="1">C6+B7</f>
        <v>25</v>
      </c>
      <c r="D7" s="2"/>
    </row>
    <row r="8" ht="15.0" customHeight="1">
      <c r="A8" s="8">
        <v>3.0</v>
      </c>
      <c r="B8" s="9">
        <f>Assumptions!$B$26+(A8*Assumptions!$B$27)</f>
        <v>17</v>
      </c>
      <c r="C8" s="9">
        <f t="shared" si="1"/>
        <v>42</v>
      </c>
      <c r="D8" s="2"/>
    </row>
    <row r="9" ht="15.0" customHeight="1">
      <c r="A9" s="8">
        <v>4.0</v>
      </c>
      <c r="B9" s="9">
        <f>Assumptions!$B$26+(A9*Assumptions!$B$27)</f>
        <v>20</v>
      </c>
      <c r="C9" s="9">
        <f t="shared" si="1"/>
        <v>62</v>
      </c>
      <c r="D9" s="2"/>
    </row>
    <row r="10" ht="15.0" customHeight="1">
      <c r="A10" s="8">
        <v>5.0</v>
      </c>
      <c r="B10" s="9">
        <f>Assumptions!$B$26+(A10*Assumptions!$B$27)</f>
        <v>23</v>
      </c>
      <c r="C10" s="9">
        <f t="shared" si="1"/>
        <v>85</v>
      </c>
      <c r="D10" s="2"/>
    </row>
    <row r="11" ht="15.0" customHeight="1">
      <c r="A11" s="8">
        <v>6.0</v>
      </c>
      <c r="B11" s="9">
        <f>Assumptions!$B$26+(A11*Assumptions!$B$27)</f>
        <v>26</v>
      </c>
      <c r="C11" s="9">
        <f t="shared" si="1"/>
        <v>111</v>
      </c>
      <c r="D11" s="2"/>
    </row>
    <row r="12" ht="15.0" customHeight="1">
      <c r="A12" s="8">
        <v>7.0</v>
      </c>
      <c r="B12" s="9">
        <f>Assumptions!$B$26+(A12*Assumptions!$B$27)</f>
        <v>29</v>
      </c>
      <c r="C12" s="9">
        <f t="shared" si="1"/>
        <v>140</v>
      </c>
      <c r="D12" s="2"/>
    </row>
    <row r="13" ht="15.0" customHeight="1">
      <c r="A13" s="8">
        <v>8.0</v>
      </c>
      <c r="B13" s="9">
        <f>Assumptions!$B$26+(A13*Assumptions!$B$27)</f>
        <v>32</v>
      </c>
      <c r="C13" s="9">
        <f t="shared" si="1"/>
        <v>172</v>
      </c>
      <c r="D13" s="2"/>
    </row>
    <row r="14" ht="15.0" customHeight="1">
      <c r="A14" s="8">
        <v>9.0</v>
      </c>
      <c r="B14" s="9">
        <f>Assumptions!$B$26+(A14*Assumptions!$B$27)</f>
        <v>35</v>
      </c>
      <c r="C14" s="9">
        <f t="shared" si="1"/>
        <v>207</v>
      </c>
      <c r="D14" s="2"/>
    </row>
    <row r="15" ht="15.0" customHeight="1">
      <c r="A15" s="8">
        <v>10.0</v>
      </c>
      <c r="B15" s="9">
        <f>Assumptions!$B$26+(A15*Assumptions!$B$27)</f>
        <v>38</v>
      </c>
      <c r="C15" s="9">
        <f t="shared" si="1"/>
        <v>245</v>
      </c>
      <c r="D15" s="2"/>
    </row>
    <row r="16" ht="15.0" customHeight="1">
      <c r="A16" s="8">
        <v>11.0</v>
      </c>
      <c r="B16" s="9">
        <f>Assumptions!$B$26+(A16*Assumptions!$B$27)</f>
        <v>41</v>
      </c>
      <c r="C16" s="9">
        <f t="shared" si="1"/>
        <v>286</v>
      </c>
      <c r="D16" s="2"/>
    </row>
    <row r="17" ht="15.0" customHeight="1">
      <c r="A17" s="8">
        <v>12.0</v>
      </c>
      <c r="B17" s="9">
        <f>Assumptions!$B$26+(A17*Assumptions!$B$27)</f>
        <v>44</v>
      </c>
      <c r="C17" s="9">
        <f t="shared" si="1"/>
        <v>330</v>
      </c>
      <c r="D17" s="2"/>
    </row>
    <row r="18" ht="15.0" customHeight="1">
      <c r="A18" s="8">
        <v>13.0</v>
      </c>
      <c r="B18" s="9">
        <f>Assumptions!$B$26+(A18*Assumptions!$B$27)</f>
        <v>47</v>
      </c>
      <c r="C18" s="9">
        <f t="shared" si="1"/>
        <v>377</v>
      </c>
      <c r="D18" s="2"/>
    </row>
    <row r="19" ht="15.0" customHeight="1">
      <c r="A19" s="8">
        <v>14.0</v>
      </c>
      <c r="B19" s="9">
        <f>Assumptions!$B$26+(A19*Assumptions!$B$27)</f>
        <v>50</v>
      </c>
      <c r="C19" s="9">
        <f t="shared" si="1"/>
        <v>427</v>
      </c>
      <c r="D19" s="2"/>
    </row>
    <row r="20" ht="15.0" customHeight="1">
      <c r="A20" s="8">
        <v>15.0</v>
      </c>
      <c r="B20" s="9">
        <f>Assumptions!$B$26+(A20*Assumptions!$B$27)</f>
        <v>53</v>
      </c>
      <c r="C20" s="9">
        <f t="shared" si="1"/>
        <v>480</v>
      </c>
      <c r="D20" s="2"/>
    </row>
    <row r="21" ht="15.0" customHeight="1">
      <c r="A21" s="8">
        <v>16.0</v>
      </c>
      <c r="B21" s="9">
        <f>Assumptions!$B$26+(A21*Assumptions!$B$27)</f>
        <v>56</v>
      </c>
      <c r="C21" s="9">
        <f t="shared" si="1"/>
        <v>536</v>
      </c>
      <c r="D21" s="2"/>
    </row>
    <row r="22" ht="15.0" customHeight="1">
      <c r="A22" s="8">
        <v>17.0</v>
      </c>
      <c r="B22" s="9">
        <f>Assumptions!$B$26+(A22*Assumptions!$B$27)</f>
        <v>59</v>
      </c>
      <c r="C22" s="9">
        <f t="shared" si="1"/>
        <v>595</v>
      </c>
      <c r="D22" s="2"/>
    </row>
    <row r="23" ht="15.0" customHeight="1">
      <c r="A23" s="8">
        <v>18.0</v>
      </c>
      <c r="B23" s="9">
        <f>Assumptions!$B$26+(A23*Assumptions!$B$27)</f>
        <v>62</v>
      </c>
      <c r="C23" s="9">
        <f t="shared" si="1"/>
        <v>657</v>
      </c>
      <c r="D23" s="2"/>
    </row>
    <row r="24" ht="15.0" customHeight="1">
      <c r="A24" s="8">
        <v>19.0</v>
      </c>
      <c r="B24" s="9">
        <f>Assumptions!$B$26+(A24*Assumptions!$B$27)</f>
        <v>65</v>
      </c>
      <c r="C24" s="9">
        <f t="shared" si="1"/>
        <v>722</v>
      </c>
      <c r="D24" s="2"/>
    </row>
    <row r="25" ht="15.0" customHeight="1">
      <c r="A25" s="8">
        <v>20.0</v>
      </c>
      <c r="B25" s="9">
        <f>Assumptions!$B$26+(A25*Assumptions!$B$27)</f>
        <v>68</v>
      </c>
      <c r="C25" s="9">
        <f t="shared" si="1"/>
        <v>790</v>
      </c>
      <c r="D25" s="2"/>
    </row>
    <row r="26" ht="15.0" customHeight="1">
      <c r="A26" s="8">
        <v>21.0</v>
      </c>
      <c r="B26" s="9">
        <f>Assumptions!$B$26+(A26*Assumptions!$B$27)</f>
        <v>71</v>
      </c>
      <c r="C26" s="9">
        <f t="shared" si="1"/>
        <v>861</v>
      </c>
      <c r="D26" s="2"/>
    </row>
    <row r="27" ht="15.0" customHeight="1">
      <c r="A27" s="8">
        <v>22.0</v>
      </c>
      <c r="B27" s="9">
        <f>Assumptions!$B$26+(A27*Assumptions!$B$27)</f>
        <v>74</v>
      </c>
      <c r="C27" s="9">
        <f t="shared" si="1"/>
        <v>935</v>
      </c>
      <c r="D27" s="2"/>
    </row>
    <row r="28" ht="15.0" customHeight="1">
      <c r="A28" s="8">
        <v>23.0</v>
      </c>
      <c r="B28" s="9">
        <f>Assumptions!$B$26+(A28*Assumptions!$B$27)</f>
        <v>77</v>
      </c>
      <c r="C28" s="9">
        <f t="shared" si="1"/>
        <v>1012</v>
      </c>
      <c r="D28" s="2"/>
    </row>
    <row r="29" ht="15.0" customHeight="1">
      <c r="A29" s="8">
        <v>24.0</v>
      </c>
      <c r="B29" s="9">
        <f>Assumptions!$B$26+(A29*Assumptions!$B$27)</f>
        <v>80</v>
      </c>
      <c r="C29" s="9">
        <f t="shared" si="1"/>
        <v>1092</v>
      </c>
      <c r="D29" s="2"/>
    </row>
    <row r="30" ht="15.0" customHeight="1">
      <c r="A30" s="8">
        <v>25.0</v>
      </c>
      <c r="B30" s="9">
        <f>Assumptions!$B$26+(A30*Assumptions!$B$27)</f>
        <v>83</v>
      </c>
      <c r="C30" s="9">
        <f t="shared" si="1"/>
        <v>1175</v>
      </c>
      <c r="D30" s="2"/>
    </row>
    <row r="31" ht="15.0" customHeight="1">
      <c r="A31" s="8">
        <v>26.0</v>
      </c>
      <c r="B31" s="9">
        <f>Assumptions!$B$26+(A31*Assumptions!$B$27)</f>
        <v>86</v>
      </c>
      <c r="C31" s="9">
        <f t="shared" si="1"/>
        <v>1261</v>
      </c>
      <c r="D31" s="2"/>
    </row>
    <row r="32" ht="15.0" customHeight="1">
      <c r="A32" s="8">
        <v>27.0</v>
      </c>
      <c r="B32" s="9">
        <f>Assumptions!$B$26+(A32*Assumptions!$B$27)</f>
        <v>89</v>
      </c>
      <c r="C32" s="9">
        <f t="shared" si="1"/>
        <v>1350</v>
      </c>
      <c r="D32" s="2"/>
    </row>
    <row r="33" ht="15.0" customHeight="1">
      <c r="A33" s="8">
        <v>28.0</v>
      </c>
      <c r="B33" s="9">
        <f>Assumptions!$B$26+(A33*Assumptions!$B$27)</f>
        <v>92</v>
      </c>
      <c r="C33" s="9">
        <f t="shared" si="1"/>
        <v>1442</v>
      </c>
      <c r="D33" s="2"/>
    </row>
    <row r="34" ht="15.0" customHeight="1">
      <c r="A34" s="8">
        <v>29.0</v>
      </c>
      <c r="B34" s="9">
        <f>Assumptions!$B$26+(A34*Assumptions!$B$27)</f>
        <v>95</v>
      </c>
      <c r="C34" s="9">
        <f t="shared" si="1"/>
        <v>1537</v>
      </c>
      <c r="D34" s="2"/>
    </row>
    <row r="35" ht="15.0" customHeight="1">
      <c r="A35" s="8">
        <v>30.0</v>
      </c>
      <c r="B35" s="9">
        <f>Assumptions!$B$26+(A35*Assumptions!$B$27)</f>
        <v>98</v>
      </c>
      <c r="C35" s="9">
        <f t="shared" si="1"/>
        <v>1635</v>
      </c>
      <c r="D35" s="2"/>
    </row>
    <row r="36" ht="15.0" customHeight="1">
      <c r="A36" s="8">
        <v>31.0</v>
      </c>
      <c r="B36" s="9">
        <f>Assumptions!$B$26+(A36*Assumptions!$B$27)</f>
        <v>101</v>
      </c>
      <c r="C36" s="9">
        <f t="shared" si="1"/>
        <v>1736</v>
      </c>
      <c r="D36" s="2"/>
    </row>
    <row r="37" ht="15.0" customHeight="1">
      <c r="A37" s="8">
        <v>32.0</v>
      </c>
      <c r="B37" s="9">
        <f>Assumptions!$B$26+(A37*Assumptions!$B$27)</f>
        <v>104</v>
      </c>
      <c r="C37" s="9">
        <f t="shared" si="1"/>
        <v>1840</v>
      </c>
      <c r="D37" s="2"/>
    </row>
    <row r="38" ht="15.0" customHeight="1">
      <c r="A38" s="8">
        <v>33.0</v>
      </c>
      <c r="B38" s="9">
        <f>Assumptions!$B$26+(A38*Assumptions!$B$27)</f>
        <v>107</v>
      </c>
      <c r="C38" s="9">
        <f t="shared" si="1"/>
        <v>1947</v>
      </c>
      <c r="D38" s="2"/>
    </row>
    <row r="39" ht="15.0" customHeight="1">
      <c r="A39" s="8">
        <v>34.0</v>
      </c>
      <c r="B39" s="9">
        <f>Assumptions!$B$26+(A39*Assumptions!$B$27)</f>
        <v>110</v>
      </c>
      <c r="C39" s="9">
        <f t="shared" si="1"/>
        <v>2057</v>
      </c>
      <c r="D39" s="2"/>
    </row>
    <row r="40" ht="15.0" customHeight="1">
      <c r="A40" s="8">
        <v>35.0</v>
      </c>
      <c r="B40" s="9">
        <f>Assumptions!$B$26+(A40*Assumptions!$B$27)</f>
        <v>113</v>
      </c>
      <c r="C40" s="9">
        <f t="shared" si="1"/>
        <v>2170</v>
      </c>
      <c r="D40" s="2"/>
    </row>
    <row r="41" ht="15.0" customHeight="1">
      <c r="A41" s="8">
        <v>36.0</v>
      </c>
      <c r="B41" s="9">
        <f>Assumptions!$B$26+(A41*Assumptions!$B$27)</f>
        <v>116</v>
      </c>
      <c r="C41" s="9">
        <f t="shared" si="1"/>
        <v>2286</v>
      </c>
      <c r="D41" s="2"/>
    </row>
    <row r="42" ht="15.0" customHeight="1">
      <c r="A42" s="8">
        <v>37.0</v>
      </c>
      <c r="B42" s="9">
        <f>Assumptions!$B$26+(A42*Assumptions!$B$27)</f>
        <v>119</v>
      </c>
      <c r="C42" s="9">
        <f t="shared" si="1"/>
        <v>2405</v>
      </c>
      <c r="D42" s="2"/>
    </row>
    <row r="43" ht="15.0" customHeight="1">
      <c r="A43" s="8">
        <v>38.0</v>
      </c>
      <c r="B43" s="9">
        <f>Assumptions!$B$26+(A43*Assumptions!$B$27)</f>
        <v>122</v>
      </c>
      <c r="C43" s="9">
        <f t="shared" si="1"/>
        <v>2527</v>
      </c>
      <c r="D43" s="2"/>
    </row>
    <row r="44" ht="15.0" customHeight="1">
      <c r="A44" s="8">
        <v>39.0</v>
      </c>
      <c r="B44" s="9">
        <f>Assumptions!$B$26+(A44*Assumptions!$B$27)</f>
        <v>125</v>
      </c>
      <c r="C44" s="9">
        <f t="shared" si="1"/>
        <v>2652</v>
      </c>
      <c r="D44" s="2"/>
    </row>
    <row r="45" ht="15.0" customHeight="1">
      <c r="A45" s="8">
        <v>40.0</v>
      </c>
      <c r="B45" s="9">
        <f>Assumptions!$B$26+(A45*Assumptions!$B$27)</f>
        <v>128</v>
      </c>
      <c r="C45" s="9">
        <f t="shared" si="1"/>
        <v>2780</v>
      </c>
      <c r="D45" s="2"/>
    </row>
    <row r="46" ht="15.0" customHeight="1">
      <c r="A46" s="8">
        <v>41.0</v>
      </c>
      <c r="B46" s="9">
        <f>Assumptions!$B$26+(A46*Assumptions!$B$27)</f>
        <v>131</v>
      </c>
      <c r="C46" s="9">
        <f t="shared" si="1"/>
        <v>2911</v>
      </c>
      <c r="D46" s="2"/>
    </row>
    <row r="47" ht="15.0" customHeight="1">
      <c r="A47" s="8">
        <v>42.0</v>
      </c>
      <c r="B47" s="9">
        <f>Assumptions!$B$26+(A47*Assumptions!$B$27)</f>
        <v>134</v>
      </c>
      <c r="C47" s="9">
        <f t="shared" si="1"/>
        <v>3045</v>
      </c>
      <c r="D47" s="2"/>
    </row>
    <row r="48" ht="15.0" customHeight="1">
      <c r="A48" s="8">
        <v>43.0</v>
      </c>
      <c r="B48" s="9">
        <f>Assumptions!$B$26+(A48*Assumptions!$B$27)</f>
        <v>137</v>
      </c>
      <c r="C48" s="9">
        <f t="shared" si="1"/>
        <v>3182</v>
      </c>
      <c r="D48" s="2"/>
    </row>
    <row r="49" ht="15.0" customHeight="1">
      <c r="A49" s="8">
        <v>44.0</v>
      </c>
      <c r="B49" s="9">
        <f>Assumptions!$B$26+(A49*Assumptions!$B$27)</f>
        <v>140</v>
      </c>
      <c r="C49" s="9">
        <f t="shared" si="1"/>
        <v>3322</v>
      </c>
      <c r="D49" s="2"/>
    </row>
    <row r="50" ht="15.0" customHeight="1">
      <c r="A50" s="8">
        <v>45.0</v>
      </c>
      <c r="B50" s="9">
        <f>Assumptions!$B$26+(A50*Assumptions!$B$27)</f>
        <v>143</v>
      </c>
      <c r="C50" s="9">
        <f t="shared" si="1"/>
        <v>3465</v>
      </c>
      <c r="D50" s="2"/>
    </row>
    <row r="51" ht="15.0" customHeight="1">
      <c r="A51" s="8">
        <v>46.0</v>
      </c>
      <c r="B51" s="9">
        <f>Assumptions!$B$26+(A51*Assumptions!$B$27)</f>
        <v>146</v>
      </c>
      <c r="C51" s="9">
        <f t="shared" si="1"/>
        <v>3611</v>
      </c>
      <c r="D51" s="2"/>
    </row>
    <row r="52" ht="15.0" customHeight="1">
      <c r="A52" s="8">
        <v>47.0</v>
      </c>
      <c r="B52" s="9">
        <f>Assumptions!$B$26+(A52*Assumptions!$B$27)</f>
        <v>149</v>
      </c>
      <c r="C52" s="9">
        <f t="shared" si="1"/>
        <v>3760</v>
      </c>
      <c r="D52" s="2"/>
    </row>
    <row r="53" ht="15.0" customHeight="1">
      <c r="A53" s="8">
        <v>48.0</v>
      </c>
      <c r="B53" s="9">
        <f>Assumptions!$B$26+(A53*Assumptions!$B$27)</f>
        <v>152</v>
      </c>
      <c r="C53" s="9">
        <f t="shared" si="1"/>
        <v>3912</v>
      </c>
      <c r="D53" s="2"/>
    </row>
    <row r="54" ht="15.0" customHeight="1">
      <c r="A54" s="8">
        <v>49.0</v>
      </c>
      <c r="B54" s="9">
        <f>Assumptions!$B$26+(A54*Assumptions!$B$27)</f>
        <v>155</v>
      </c>
      <c r="C54" s="9">
        <f t="shared" si="1"/>
        <v>4067</v>
      </c>
      <c r="D54" s="2"/>
    </row>
    <row r="55" ht="15.0" customHeight="1">
      <c r="A55" s="8">
        <v>50.0</v>
      </c>
      <c r="B55" s="9">
        <f>Assumptions!$B$26+(A55*Assumptions!$B$27)</f>
        <v>158</v>
      </c>
      <c r="C55" s="9">
        <f t="shared" si="1"/>
        <v>4225</v>
      </c>
      <c r="D55" s="2"/>
    </row>
    <row r="56" ht="15.0" customHeight="1">
      <c r="A56" s="8">
        <v>51.0</v>
      </c>
      <c r="B56" s="9">
        <f>Assumptions!$B$26+(A56*Assumptions!$B$27)</f>
        <v>161</v>
      </c>
      <c r="C56" s="9">
        <f t="shared" si="1"/>
        <v>4386</v>
      </c>
      <c r="D56" s="2"/>
    </row>
    <row r="57" ht="15.0" customHeight="1">
      <c r="A57" s="8">
        <v>52.0</v>
      </c>
      <c r="B57" s="9">
        <f>Assumptions!$B$26+(A57*Assumptions!$B$27)</f>
        <v>164</v>
      </c>
      <c r="C57" s="9">
        <f t="shared" si="1"/>
        <v>4550</v>
      </c>
      <c r="D57" s="2"/>
    </row>
    <row r="58" ht="15.0" customHeight="1">
      <c r="A58" s="8">
        <v>53.0</v>
      </c>
      <c r="B58" s="9">
        <f>Assumptions!$B$26+(A58*Assumptions!$B$27)</f>
        <v>167</v>
      </c>
      <c r="C58" s="9">
        <f t="shared" si="1"/>
        <v>4717</v>
      </c>
      <c r="D58" s="2"/>
    </row>
    <row r="59" ht="15.0" customHeight="1">
      <c r="A59" s="8">
        <v>54.0</v>
      </c>
      <c r="B59" s="9">
        <f>Assumptions!$B$26+(A59*Assumptions!$B$27)</f>
        <v>170</v>
      </c>
      <c r="C59" s="9">
        <f t="shared" si="1"/>
        <v>4887</v>
      </c>
      <c r="D59" s="2"/>
    </row>
    <row r="60" ht="15.0" customHeight="1">
      <c r="A60" s="8">
        <v>55.0</v>
      </c>
      <c r="B60" s="9">
        <f>Assumptions!$B$26+(A60*Assumptions!$B$27)</f>
        <v>173</v>
      </c>
      <c r="C60" s="9">
        <f t="shared" si="1"/>
        <v>5060</v>
      </c>
      <c r="D60" s="2"/>
    </row>
    <row r="61" ht="15.0" customHeight="1">
      <c r="A61" s="8">
        <v>56.0</v>
      </c>
      <c r="B61" s="9">
        <f>Assumptions!$B$26+(A61*Assumptions!$B$27)</f>
        <v>176</v>
      </c>
      <c r="C61" s="9">
        <f t="shared" si="1"/>
        <v>5236</v>
      </c>
      <c r="D61" s="2"/>
    </row>
    <row r="62" ht="15.0" customHeight="1">
      <c r="A62" s="8">
        <v>57.0</v>
      </c>
      <c r="B62" s="9">
        <f>Assumptions!$B$26+(A62*Assumptions!$B$27)</f>
        <v>179</v>
      </c>
      <c r="C62" s="9">
        <f t="shared" si="1"/>
        <v>5415</v>
      </c>
      <c r="D62" s="2"/>
    </row>
    <row r="63" ht="15.0" customHeight="1">
      <c r="A63" s="8">
        <v>58.0</v>
      </c>
      <c r="B63" s="9">
        <f>Assumptions!$B$26+(A63*Assumptions!$B$27)</f>
        <v>182</v>
      </c>
      <c r="C63" s="9">
        <f t="shared" si="1"/>
        <v>5597</v>
      </c>
      <c r="D63" s="2"/>
    </row>
    <row r="64" ht="15.0" customHeight="1">
      <c r="A64" s="8">
        <v>59.0</v>
      </c>
      <c r="B64" s="9">
        <f>Assumptions!$B$26+(A64*Assumptions!$B$27)</f>
        <v>185</v>
      </c>
      <c r="C64" s="9">
        <f t="shared" si="1"/>
        <v>5782</v>
      </c>
      <c r="D64" s="2"/>
    </row>
    <row r="65" ht="15.0" customHeight="1">
      <c r="A65" s="8">
        <v>60.0</v>
      </c>
      <c r="B65" s="9">
        <f>Assumptions!$B$26+(A65*Assumptions!$B$27)</f>
        <v>188</v>
      </c>
      <c r="C65" s="9">
        <f t="shared" si="1"/>
        <v>5970</v>
      </c>
      <c r="D65" s="2"/>
    </row>
    <row r="66" ht="15.0" customHeight="1">
      <c r="A66" s="8">
        <v>61.0</v>
      </c>
      <c r="B66" s="9">
        <f>Assumptions!$B$26+(A66*Assumptions!$B$27)</f>
        <v>191</v>
      </c>
      <c r="C66" s="9">
        <f t="shared" si="1"/>
        <v>6161</v>
      </c>
      <c r="D66" s="2"/>
    </row>
    <row r="67" ht="15.0" customHeight="1">
      <c r="A67" s="8">
        <v>62.0</v>
      </c>
      <c r="B67" s="9">
        <f>Assumptions!$B$26+(A67*Assumptions!$B$27)</f>
        <v>194</v>
      </c>
      <c r="C67" s="9">
        <f t="shared" si="1"/>
        <v>6355</v>
      </c>
      <c r="D67" s="2"/>
    </row>
    <row r="68" ht="15.0" customHeight="1">
      <c r="A68" s="8">
        <v>63.0</v>
      </c>
      <c r="B68" s="9">
        <f>Assumptions!$B$26+(A68*Assumptions!$B$27)</f>
        <v>197</v>
      </c>
      <c r="C68" s="9">
        <f t="shared" si="1"/>
        <v>6552</v>
      </c>
      <c r="D68" s="2"/>
    </row>
    <row r="69" ht="15.0" customHeight="1">
      <c r="A69" s="8">
        <v>64.0</v>
      </c>
      <c r="B69" s="9">
        <f>Assumptions!$B$26+(A69*Assumptions!$B$27)</f>
        <v>200</v>
      </c>
      <c r="C69" s="9">
        <f t="shared" si="1"/>
        <v>6752</v>
      </c>
      <c r="D69" s="2"/>
    </row>
    <row r="70" ht="15.0" customHeight="1">
      <c r="A70" s="8">
        <v>65.0</v>
      </c>
      <c r="B70" s="9">
        <f>Assumptions!$B$26+(A70*Assumptions!$B$27)</f>
        <v>203</v>
      </c>
      <c r="C70" s="9">
        <f t="shared" si="1"/>
        <v>6955</v>
      </c>
      <c r="D70" s="2"/>
    </row>
    <row r="71" ht="15.0" customHeight="1">
      <c r="A71" s="8">
        <v>66.0</v>
      </c>
      <c r="B71" s="9">
        <f>Assumptions!$B$26+(A71*Assumptions!$B$27)</f>
        <v>206</v>
      </c>
      <c r="C71" s="9">
        <f t="shared" si="1"/>
        <v>7161</v>
      </c>
      <c r="D71" s="2"/>
    </row>
    <row r="72" ht="15.0" customHeight="1">
      <c r="A72" s="8">
        <v>67.0</v>
      </c>
      <c r="B72" s="9">
        <f>Assumptions!$B$26+(A72*Assumptions!$B$27)</f>
        <v>209</v>
      </c>
      <c r="C72" s="9">
        <f t="shared" si="1"/>
        <v>7370</v>
      </c>
      <c r="D72" s="2"/>
    </row>
    <row r="73" ht="15.0" customHeight="1">
      <c r="A73" s="8">
        <v>68.0</v>
      </c>
      <c r="B73" s="9">
        <f>Assumptions!$B$26+(A73*Assumptions!$B$27)</f>
        <v>212</v>
      </c>
      <c r="C73" s="9">
        <f t="shared" si="1"/>
        <v>7582</v>
      </c>
      <c r="D73" s="2"/>
    </row>
    <row r="74" ht="15.0" customHeight="1">
      <c r="A74" s="8">
        <v>69.0</v>
      </c>
      <c r="B74" s="9">
        <f>Assumptions!$B$26+(A74*Assumptions!$B$27)</f>
        <v>215</v>
      </c>
      <c r="C74" s="9">
        <f t="shared" si="1"/>
        <v>7797</v>
      </c>
      <c r="D74" s="2"/>
    </row>
    <row r="75" ht="15.0" customHeight="1">
      <c r="A75" s="8">
        <v>70.0</v>
      </c>
      <c r="B75" s="9">
        <f>Assumptions!$B$26+(A75*Assumptions!$B$27)</f>
        <v>218</v>
      </c>
      <c r="C75" s="9">
        <f t="shared" si="1"/>
        <v>8015</v>
      </c>
      <c r="D75" s="2"/>
    </row>
    <row r="76" ht="15.0" customHeight="1">
      <c r="A76" s="8">
        <v>71.0</v>
      </c>
      <c r="B76" s="9">
        <f>Assumptions!$B$26+(A76*Assumptions!$B$27)</f>
        <v>221</v>
      </c>
      <c r="C76" s="9">
        <f t="shared" si="1"/>
        <v>8236</v>
      </c>
      <c r="D76" s="2"/>
    </row>
    <row r="77" ht="15.0" customHeight="1">
      <c r="A77" s="8">
        <v>72.0</v>
      </c>
      <c r="B77" s="9">
        <f>Assumptions!$B$26+(A77*Assumptions!$B$27)</f>
        <v>224</v>
      </c>
      <c r="C77" s="9">
        <f t="shared" si="1"/>
        <v>8460</v>
      </c>
      <c r="D77" s="2"/>
    </row>
    <row r="78" ht="15.0" customHeight="1">
      <c r="A78" s="8">
        <v>73.0</v>
      </c>
      <c r="B78" s="9">
        <f>Assumptions!$B$26+(A78*Assumptions!$B$27)</f>
        <v>227</v>
      </c>
      <c r="C78" s="9">
        <f t="shared" si="1"/>
        <v>8687</v>
      </c>
      <c r="D78" s="2"/>
    </row>
    <row r="79" ht="15.0" customHeight="1">
      <c r="A79" s="8">
        <v>74.0</v>
      </c>
      <c r="B79" s="9">
        <f>Assumptions!$B$26+(A79*Assumptions!$B$27)</f>
        <v>230</v>
      </c>
      <c r="C79" s="9">
        <f t="shared" si="1"/>
        <v>8917</v>
      </c>
      <c r="D79" s="2"/>
    </row>
    <row r="80" ht="15.0" customHeight="1">
      <c r="A80" s="8">
        <v>75.0</v>
      </c>
      <c r="B80" s="9">
        <f>Assumptions!$B$26+(A80*Assumptions!$B$27)</f>
        <v>233</v>
      </c>
      <c r="C80" s="9">
        <f t="shared" si="1"/>
        <v>9150</v>
      </c>
      <c r="D80" s="2"/>
    </row>
    <row r="81" ht="15.0" customHeight="1">
      <c r="A81" s="8">
        <v>76.0</v>
      </c>
      <c r="B81" s="9">
        <f>Assumptions!$B$26+(A81*Assumptions!$B$27)</f>
        <v>236</v>
      </c>
      <c r="C81" s="9">
        <f t="shared" si="1"/>
        <v>9386</v>
      </c>
      <c r="D81" s="2"/>
    </row>
    <row r="82" ht="15.0" customHeight="1">
      <c r="A82" s="8">
        <v>77.0</v>
      </c>
      <c r="B82" s="9">
        <f>Assumptions!$B$26+(A82*Assumptions!$B$27)</f>
        <v>239</v>
      </c>
      <c r="C82" s="9">
        <f t="shared" si="1"/>
        <v>9625</v>
      </c>
      <c r="D82" s="2"/>
    </row>
    <row r="83" ht="15.0" customHeight="1">
      <c r="A83" s="8">
        <v>78.0</v>
      </c>
      <c r="B83" s="9">
        <f>Assumptions!$B$26+(A83*Assumptions!$B$27)</f>
        <v>242</v>
      </c>
      <c r="C83" s="9">
        <f t="shared" si="1"/>
        <v>9867</v>
      </c>
      <c r="D83" s="2"/>
    </row>
    <row r="84" ht="15.0" customHeight="1">
      <c r="A84" s="8">
        <v>79.0</v>
      </c>
      <c r="B84" s="9">
        <f>Assumptions!$B$26+(A84*Assumptions!$B$27)</f>
        <v>245</v>
      </c>
      <c r="C84" s="9">
        <f t="shared" si="1"/>
        <v>10112</v>
      </c>
      <c r="D84" s="2"/>
    </row>
    <row r="85" ht="15.0" customHeight="1">
      <c r="A85" s="8">
        <v>80.0</v>
      </c>
      <c r="B85" s="9">
        <f>Assumptions!$B$26+(A85*Assumptions!$B$27)</f>
        <v>248</v>
      </c>
      <c r="C85" s="9">
        <f t="shared" si="1"/>
        <v>10360</v>
      </c>
      <c r="D85" s="2"/>
    </row>
    <row r="86" ht="15.0" customHeight="1">
      <c r="A86" s="8">
        <v>81.0</v>
      </c>
      <c r="B86" s="9">
        <f>Assumptions!$B$26+(A86*Assumptions!$B$27)</f>
        <v>251</v>
      </c>
      <c r="C86" s="9">
        <f t="shared" si="1"/>
        <v>10611</v>
      </c>
      <c r="D86" s="2"/>
    </row>
    <row r="87" ht="15.0" customHeight="1">
      <c r="A87" s="8">
        <v>82.0</v>
      </c>
      <c r="B87" s="9">
        <f>Assumptions!$B$26+(A87*Assumptions!$B$27)</f>
        <v>254</v>
      </c>
      <c r="C87" s="9">
        <f t="shared" si="1"/>
        <v>10865</v>
      </c>
      <c r="D87" s="2"/>
    </row>
    <row r="88" ht="15.0" customHeight="1">
      <c r="A88" s="8">
        <v>83.0</v>
      </c>
      <c r="B88" s="9">
        <f>Assumptions!$B$26+(A88*Assumptions!$B$27)</f>
        <v>257</v>
      </c>
      <c r="C88" s="9">
        <f t="shared" si="1"/>
        <v>11122</v>
      </c>
      <c r="D88" s="2"/>
    </row>
    <row r="89" ht="15.0" customHeight="1">
      <c r="A89" s="8">
        <v>84.0</v>
      </c>
      <c r="B89" s="9">
        <f>Assumptions!$B$26+(A89*Assumptions!$B$27)</f>
        <v>260</v>
      </c>
      <c r="C89" s="9">
        <f t="shared" si="1"/>
        <v>11382</v>
      </c>
      <c r="D89" s="2"/>
    </row>
    <row r="90" ht="15.0" customHeight="1">
      <c r="A90" s="8">
        <v>85.0</v>
      </c>
      <c r="B90" s="9">
        <f>Assumptions!$B$26+(A90*Assumptions!$B$27)</f>
        <v>263</v>
      </c>
      <c r="C90" s="9">
        <f t="shared" si="1"/>
        <v>11645</v>
      </c>
      <c r="D90" s="2"/>
    </row>
    <row r="91" ht="15.0" customHeight="1">
      <c r="A91" s="8">
        <v>86.0</v>
      </c>
      <c r="B91" s="9">
        <f>Assumptions!$B$26+(A91*Assumptions!$B$27)</f>
        <v>266</v>
      </c>
      <c r="C91" s="9">
        <f t="shared" si="1"/>
        <v>11911</v>
      </c>
      <c r="D91" s="2"/>
    </row>
    <row r="92" ht="15.0" customHeight="1">
      <c r="A92" s="8">
        <v>87.0</v>
      </c>
      <c r="B92" s="9">
        <f>Assumptions!$B$26+(A92*Assumptions!$B$27)</f>
        <v>269</v>
      </c>
      <c r="C92" s="9">
        <f t="shared" si="1"/>
        <v>12180</v>
      </c>
      <c r="D92" s="2"/>
    </row>
    <row r="93" ht="15.0" customHeight="1">
      <c r="A93" s="8">
        <v>88.0</v>
      </c>
      <c r="B93" s="9">
        <f>Assumptions!$B$26+(A93*Assumptions!$B$27)</f>
        <v>272</v>
      </c>
      <c r="C93" s="9">
        <f t="shared" si="1"/>
        <v>12452</v>
      </c>
      <c r="D93" s="2"/>
    </row>
    <row r="94" ht="15.0" customHeight="1">
      <c r="A94" s="8">
        <v>89.0</v>
      </c>
      <c r="B94" s="9">
        <f>Assumptions!$B$26+(A94*Assumptions!$B$27)</f>
        <v>275</v>
      </c>
      <c r="C94" s="9">
        <f t="shared" si="1"/>
        <v>12727</v>
      </c>
      <c r="D94" s="2"/>
    </row>
    <row r="95" ht="15.0" customHeight="1">
      <c r="A95" s="8">
        <v>90.0</v>
      </c>
      <c r="B95" s="9">
        <f>Assumptions!$B$26+(A95*Assumptions!$B$27)</f>
        <v>278</v>
      </c>
      <c r="C95" s="9">
        <f t="shared" si="1"/>
        <v>13005</v>
      </c>
      <c r="D95" s="2"/>
    </row>
    <row r="96" ht="15.0" customHeight="1">
      <c r="A96" s="8">
        <v>91.0</v>
      </c>
      <c r="B96" s="9">
        <f>Assumptions!$B$26+(A96*Assumptions!$B$27)</f>
        <v>281</v>
      </c>
      <c r="C96" s="9">
        <f t="shared" si="1"/>
        <v>13286</v>
      </c>
      <c r="D96" s="2"/>
    </row>
    <row r="97" ht="15.0" customHeight="1">
      <c r="A97" s="8">
        <v>92.0</v>
      </c>
      <c r="B97" s="9">
        <f>Assumptions!$B$26+(A97*Assumptions!$B$27)</f>
        <v>284</v>
      </c>
      <c r="C97" s="9">
        <f t="shared" si="1"/>
        <v>13570</v>
      </c>
      <c r="D97" s="2"/>
    </row>
    <row r="98" ht="15.0" customHeight="1">
      <c r="A98" s="8">
        <v>93.0</v>
      </c>
      <c r="B98" s="9">
        <f>Assumptions!$B$26+(A98*Assumptions!$B$27)</f>
        <v>287</v>
      </c>
      <c r="C98" s="9">
        <f t="shared" si="1"/>
        <v>13857</v>
      </c>
      <c r="D98" s="2"/>
    </row>
    <row r="99" ht="15.0" customHeight="1">
      <c r="A99" s="8">
        <v>94.0</v>
      </c>
      <c r="B99" s="9">
        <f>Assumptions!$B$26+(A99*Assumptions!$B$27)</f>
        <v>290</v>
      </c>
      <c r="C99" s="9">
        <f t="shared" si="1"/>
        <v>14147</v>
      </c>
      <c r="D99" s="2"/>
    </row>
    <row r="100" ht="15.0" customHeight="1">
      <c r="A100" s="8">
        <v>95.0</v>
      </c>
      <c r="B100" s="9">
        <f>Assumptions!$B$26+(A100*Assumptions!$B$27)</f>
        <v>293</v>
      </c>
      <c r="C100" s="9">
        <f t="shared" si="1"/>
        <v>14440</v>
      </c>
      <c r="D100" s="2"/>
    </row>
    <row r="101" ht="15.0" customHeight="1">
      <c r="A101" s="8">
        <v>96.0</v>
      </c>
      <c r="B101" s="9">
        <f>Assumptions!$B$26+(A101*Assumptions!$B$27)</f>
        <v>296</v>
      </c>
      <c r="C101" s="9">
        <f t="shared" si="1"/>
        <v>14736</v>
      </c>
      <c r="D101" s="2"/>
    </row>
    <row r="102" ht="15.0" customHeight="1">
      <c r="A102" s="8">
        <v>97.0</v>
      </c>
      <c r="B102" s="9">
        <f>Assumptions!$B$26+(A102*Assumptions!$B$27)</f>
        <v>299</v>
      </c>
      <c r="C102" s="9">
        <f t="shared" si="1"/>
        <v>15035</v>
      </c>
      <c r="D102" s="2"/>
    </row>
    <row r="103" ht="15.0" customHeight="1">
      <c r="A103" s="8">
        <v>98.0</v>
      </c>
      <c r="B103" s="9">
        <f>Assumptions!$B$26+(A103*Assumptions!$B$27)</f>
        <v>302</v>
      </c>
      <c r="C103" s="9">
        <f t="shared" si="1"/>
        <v>15337</v>
      </c>
      <c r="D103" s="2"/>
    </row>
    <row r="104" ht="15.0" customHeight="1">
      <c r="A104" s="8">
        <v>99.0</v>
      </c>
      <c r="B104" s="9">
        <f>Assumptions!$B$26+(A104*Assumptions!$B$27)</f>
        <v>305</v>
      </c>
      <c r="C104" s="9">
        <f t="shared" si="1"/>
        <v>15642</v>
      </c>
      <c r="D104" s="2"/>
    </row>
    <row r="105" ht="15.0" customHeight="1">
      <c r="A105" s="8">
        <v>100.0</v>
      </c>
      <c r="B105" s="9">
        <f>Assumptions!$B$26+(A105*Assumptions!$B$27)</f>
        <v>308</v>
      </c>
      <c r="C105" s="9">
        <f t="shared" si="1"/>
        <v>15950</v>
      </c>
      <c r="D105" s="2"/>
    </row>
    <row r="106" ht="15.75" customHeight="1">
      <c r="A106" s="2"/>
      <c r="B106" s="2"/>
      <c r="C106" s="2"/>
      <c r="D106" s="2"/>
    </row>
    <row r="107" ht="15.0" customHeight="1">
      <c r="A107" s="11" t="s">
        <v>204</v>
      </c>
    </row>
    <row r="108" ht="15.0" customHeight="1"/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3">
    <mergeCell ref="A1:D1"/>
    <mergeCell ref="A2:D3"/>
    <mergeCell ref="A107:D108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14.0"/>
    <col customWidth="1" min="4" max="4" width="16.0"/>
    <col customWidth="1" min="5" max="5" width="20.0"/>
    <col customWidth="1" min="6" max="6" width="10.0"/>
    <col customWidth="1" min="7" max="7" width="18.0"/>
    <col customWidth="1" min="8" max="8" width="44.0"/>
    <col customWidth="1" min="9" max="26" width="8.71"/>
  </cols>
  <sheetData>
    <row r="1" ht="17.25" customHeight="1">
      <c r="A1" s="1" t="s">
        <v>205</v>
      </c>
    </row>
    <row r="2" ht="15.0" customHeight="1">
      <c r="A2" s="11" t="s">
        <v>206</v>
      </c>
    </row>
    <row r="3" ht="15.0" customHeight="1"/>
    <row r="4" ht="15.0" customHeight="1"/>
    <row r="5">
      <c r="A5" s="2"/>
      <c r="B5" s="2"/>
      <c r="C5" s="2"/>
      <c r="D5" s="2"/>
      <c r="E5" s="2"/>
      <c r="F5" s="2"/>
      <c r="G5" s="2"/>
      <c r="H5" s="2"/>
    </row>
    <row r="6" ht="15.0" customHeight="1">
      <c r="A6" s="21" t="s">
        <v>207</v>
      </c>
      <c r="B6" s="22"/>
      <c r="C6" s="22"/>
      <c r="D6" s="22"/>
      <c r="E6" s="22"/>
      <c r="F6" s="22"/>
      <c r="G6" s="22"/>
      <c r="H6" s="23"/>
    </row>
    <row r="7" ht="15.0" customHeight="1">
      <c r="A7" s="3" t="s">
        <v>208</v>
      </c>
      <c r="B7" s="3" t="s">
        <v>209</v>
      </c>
      <c r="C7" s="3" t="s">
        <v>210</v>
      </c>
      <c r="D7" s="3" t="s">
        <v>211</v>
      </c>
      <c r="E7" s="3" t="s">
        <v>212</v>
      </c>
      <c r="F7" s="3" t="s">
        <v>213</v>
      </c>
      <c r="G7" s="3" t="s">
        <v>214</v>
      </c>
      <c r="H7" s="3" t="s">
        <v>4</v>
      </c>
    </row>
    <row r="8" ht="15.0" customHeight="1">
      <c r="A8" s="24" t="s">
        <v>215</v>
      </c>
      <c r="B8" s="5" t="s">
        <v>216</v>
      </c>
      <c r="C8" s="8" t="s">
        <v>217</v>
      </c>
      <c r="D8" s="24" t="s">
        <v>218</v>
      </c>
      <c r="E8" s="5" t="s">
        <v>219</v>
      </c>
      <c r="F8" s="5">
        <v>136.0</v>
      </c>
      <c r="G8" s="25">
        <v>457.85</v>
      </c>
      <c r="H8" s="19" t="s">
        <v>220</v>
      </c>
    </row>
    <row r="9" ht="15.0" customHeight="1">
      <c r="A9" s="24" t="s">
        <v>221</v>
      </c>
      <c r="B9" s="5" t="s">
        <v>222</v>
      </c>
      <c r="C9" s="8" t="s">
        <v>217</v>
      </c>
      <c r="D9" s="24" t="s">
        <v>218</v>
      </c>
      <c r="E9" s="5" t="s">
        <v>219</v>
      </c>
      <c r="F9" s="5">
        <v>4.0</v>
      </c>
      <c r="G9" s="25">
        <v>8.6</v>
      </c>
      <c r="H9" s="19" t="s">
        <v>223</v>
      </c>
    </row>
    <row r="10" ht="15.0" customHeight="1">
      <c r="A10" s="24" t="s">
        <v>224</v>
      </c>
      <c r="B10" s="5" t="s">
        <v>225</v>
      </c>
      <c r="C10" s="8" t="s">
        <v>217</v>
      </c>
      <c r="D10" s="24" t="s">
        <v>226</v>
      </c>
      <c r="E10" s="5" t="s">
        <v>227</v>
      </c>
      <c r="F10" s="5">
        <v>1.0</v>
      </c>
      <c r="G10" s="25">
        <v>10.0</v>
      </c>
      <c r="H10" s="19" t="s">
        <v>228</v>
      </c>
    </row>
    <row r="11" ht="15.0" customHeight="1">
      <c r="A11" s="24" t="s">
        <v>229</v>
      </c>
      <c r="B11" s="5" t="s">
        <v>230</v>
      </c>
      <c r="C11" s="8" t="s">
        <v>6</v>
      </c>
      <c r="D11" s="24" t="s">
        <v>231</v>
      </c>
      <c r="E11" s="5" t="s">
        <v>232</v>
      </c>
      <c r="F11" s="5">
        <v>55.0</v>
      </c>
      <c r="G11" s="25">
        <v>85.25</v>
      </c>
      <c r="H11" s="19"/>
    </row>
    <row r="12" ht="15.0" customHeight="1">
      <c r="A12" s="24" t="s">
        <v>233</v>
      </c>
      <c r="B12" s="5" t="s">
        <v>234</v>
      </c>
      <c r="C12" s="8" t="s">
        <v>6</v>
      </c>
      <c r="D12" s="24" t="s">
        <v>231</v>
      </c>
      <c r="E12" s="5" t="s">
        <v>232</v>
      </c>
      <c r="F12" s="5">
        <v>4.0</v>
      </c>
      <c r="G12" s="25">
        <v>8.6</v>
      </c>
      <c r="H12" s="19" t="s">
        <v>235</v>
      </c>
    </row>
    <row r="13" ht="15.0" customHeight="1">
      <c r="A13" s="24" t="s">
        <v>236</v>
      </c>
      <c r="B13" s="5" t="s">
        <v>237</v>
      </c>
      <c r="C13" s="8" t="s">
        <v>6</v>
      </c>
      <c r="D13" s="24" t="s">
        <v>238</v>
      </c>
      <c r="E13" s="5" t="s">
        <v>239</v>
      </c>
      <c r="F13" s="5">
        <v>1.0</v>
      </c>
      <c r="G13" s="25">
        <v>10.0</v>
      </c>
      <c r="H13" s="19" t="s">
        <v>240</v>
      </c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 ht="15.0" customHeight="1">
      <c r="A16" s="21" t="s">
        <v>241</v>
      </c>
      <c r="B16" s="22"/>
      <c r="C16" s="22"/>
      <c r="D16" s="22"/>
      <c r="E16" s="23"/>
      <c r="F16" s="2"/>
      <c r="G16" s="2"/>
      <c r="H16" s="2"/>
    </row>
    <row r="17" ht="15.0" customHeight="1">
      <c r="A17" s="3" t="s">
        <v>242</v>
      </c>
      <c r="B17" s="3" t="s">
        <v>243</v>
      </c>
      <c r="C17" s="3" t="s">
        <v>244</v>
      </c>
      <c r="D17" s="3" t="s">
        <v>245</v>
      </c>
      <c r="E17" s="3" t="s">
        <v>246</v>
      </c>
      <c r="F17" s="2"/>
      <c r="G17" s="2"/>
      <c r="H17" s="2"/>
    </row>
    <row r="18" ht="15.0" customHeight="1">
      <c r="A18" s="8" t="s">
        <v>217</v>
      </c>
      <c r="B18" s="24" t="s">
        <v>218</v>
      </c>
      <c r="C18" s="5" t="s">
        <v>219</v>
      </c>
      <c r="D18" s="26">
        <f>SUMIFS(G8:G13,C8:C13,A18,D8:D13,B18)</f>
        <v>466.45</v>
      </c>
      <c r="E18" s="13">
        <f t="shared" ref="E18:E21" si="1">1+D18</f>
        <v>467.45</v>
      </c>
      <c r="F18" s="2"/>
      <c r="G18" s="2"/>
      <c r="H18" s="2"/>
    </row>
    <row r="19" ht="15.0" customHeight="1">
      <c r="A19" s="8" t="s">
        <v>217</v>
      </c>
      <c r="B19" s="24" t="s">
        <v>226</v>
      </c>
      <c r="C19" s="5" t="s">
        <v>227</v>
      </c>
      <c r="D19" s="26">
        <f>SUMIFS(G8:G13,C8:C13,A19,D8:D13,B19)</f>
        <v>10</v>
      </c>
      <c r="E19" s="13">
        <f t="shared" si="1"/>
        <v>11</v>
      </c>
      <c r="F19" s="2"/>
      <c r="G19" s="2"/>
      <c r="H19" s="2"/>
    </row>
    <row r="20" ht="15.0" customHeight="1">
      <c r="A20" s="8" t="s">
        <v>6</v>
      </c>
      <c r="B20" s="24" t="s">
        <v>231</v>
      </c>
      <c r="C20" s="5" t="s">
        <v>232</v>
      </c>
      <c r="D20" s="26">
        <f>SUMIFS(G8:G13,C8:C13,A20,D8:D13,B20)</f>
        <v>93.85</v>
      </c>
      <c r="E20" s="13">
        <f t="shared" si="1"/>
        <v>94.85</v>
      </c>
      <c r="F20" s="2"/>
      <c r="G20" s="2"/>
      <c r="H20" s="2"/>
    </row>
    <row r="21" ht="15.0" customHeight="1">
      <c r="A21" s="8" t="s">
        <v>6</v>
      </c>
      <c r="B21" s="24" t="s">
        <v>238</v>
      </c>
      <c r="C21" s="5" t="s">
        <v>239</v>
      </c>
      <c r="D21" s="26">
        <f>SUMIFS(G8:G13,C8:C13,A21,D8:D13,B21)</f>
        <v>10</v>
      </c>
      <c r="E21" s="13">
        <f t="shared" si="1"/>
        <v>11</v>
      </c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0" customHeight="1">
      <c r="A24" s="21" t="s">
        <v>247</v>
      </c>
      <c r="B24" s="22"/>
      <c r="C24" s="22"/>
      <c r="D24" s="23"/>
      <c r="E24" s="2"/>
      <c r="F24" s="2"/>
      <c r="G24" s="2"/>
      <c r="H24" s="2"/>
    </row>
    <row r="25" ht="15.0" customHeight="1">
      <c r="A25" s="3" t="s">
        <v>134</v>
      </c>
      <c r="B25" s="3" t="s">
        <v>213</v>
      </c>
      <c r="C25" s="3" t="s">
        <v>248</v>
      </c>
      <c r="D25" s="3" t="s">
        <v>249</v>
      </c>
      <c r="E25" s="2"/>
      <c r="F25" s="2"/>
      <c r="G25" s="2"/>
      <c r="H25" s="2"/>
    </row>
    <row r="26" ht="15.0" customHeight="1">
      <c r="A26" s="8" t="s">
        <v>250</v>
      </c>
      <c r="B26" s="5">
        <v>50.0</v>
      </c>
      <c r="C26" s="6">
        <v>0.1</v>
      </c>
      <c r="D26" s="13">
        <f>1+(B26*C26)</f>
        <v>6</v>
      </c>
      <c r="E26" s="7" t="s">
        <v>251</v>
      </c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0" customHeight="1">
      <c r="A29" s="21" t="s">
        <v>252</v>
      </c>
      <c r="B29" s="22"/>
      <c r="C29" s="22"/>
      <c r="D29" s="23"/>
      <c r="E29" s="2"/>
      <c r="F29" s="2"/>
      <c r="G29" s="2"/>
      <c r="H29" s="2"/>
    </row>
    <row r="30" ht="15.0" customHeight="1">
      <c r="A30" s="8" t="s">
        <v>253</v>
      </c>
      <c r="B30" s="5">
        <v>50.0</v>
      </c>
      <c r="C30" s="2"/>
      <c r="D30" s="2"/>
      <c r="E30" s="2"/>
      <c r="F30" s="2"/>
      <c r="G30" s="2"/>
      <c r="H30" s="2"/>
    </row>
    <row r="31" ht="15.0" customHeight="1">
      <c r="A31" s="8" t="s">
        <v>254</v>
      </c>
      <c r="B31" s="9">
        <f>B30*E18*E19*D26</f>
        <v>1542585</v>
      </c>
      <c r="C31" s="7" t="s">
        <v>255</v>
      </c>
      <c r="D31" s="2"/>
      <c r="E31" s="2"/>
      <c r="F31" s="2"/>
      <c r="G31" s="2"/>
      <c r="H31" s="2"/>
    </row>
    <row r="32" ht="15.0" customHeight="1">
      <c r="A32" s="8" t="s">
        <v>256</v>
      </c>
      <c r="B32" s="9">
        <f>B30*E20*E21*D26</f>
        <v>313005</v>
      </c>
      <c r="C32" s="2"/>
      <c r="D32" s="2"/>
      <c r="E32" s="2"/>
      <c r="F32" s="2"/>
      <c r="G32" s="2"/>
      <c r="H32" s="2"/>
    </row>
    <row r="33" ht="15.0" customHeight="1">
      <c r="A33" s="8" t="s">
        <v>257</v>
      </c>
      <c r="B33" s="9">
        <f>B30*(1+D18+D19+(B26*C26))</f>
        <v>24122.5</v>
      </c>
      <c r="C33" s="7" t="s">
        <v>258</v>
      </c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0" customHeight="1">
      <c r="A35" s="11" t="s">
        <v>259</v>
      </c>
    </row>
    <row r="36" ht="15.0" customHeight="1"/>
    <row r="37" ht="15.0" customHeight="1"/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7">
    <mergeCell ref="A1:H1"/>
    <mergeCell ref="A2:H4"/>
    <mergeCell ref="A6:H6"/>
    <mergeCell ref="A16:E16"/>
    <mergeCell ref="A24:D24"/>
    <mergeCell ref="A29:D29"/>
    <mergeCell ref="A35:H37"/>
  </mergeCells>
  <printOptions/>
  <pageMargins bottom="1.0" footer="0.0" header="0.0" left="0.75" right="0.75" top="1.0"/>
  <pageSetup paperSize="9" orientation="portrait"/>
  <drawing r:id="rId1"/>
</worksheet>
</file>